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ales Analyst\Harga\Update BP Weekly\"/>
    </mc:Choice>
  </mc:AlternateContent>
  <xr:revisionPtr revIDLastSave="0" documentId="13_ncr:1_{E0884B5E-07B1-4DD0-8EE4-64B020C3A9D4}" xr6:coauthVersionLast="47" xr6:coauthVersionMax="47" xr10:uidLastSave="{00000000-0000-0000-0000-000000000000}"/>
  <bookViews>
    <workbookView xWindow="-110" yWindow="-110" windowWidth="19420" windowHeight="11500" xr2:uid="{3FB2CD07-B4FF-4894-AF43-16A682A83B4A}"/>
  </bookViews>
  <sheets>
    <sheet name="Pricelist Lengkap" sheetId="1" r:id="rId1"/>
    <sheet name="Search Harga" sheetId="2" r:id="rId2"/>
  </sheets>
  <definedNames>
    <definedName name="_xlnm._FilterDatabase" localSheetId="0" hidden="1">'Pricelist Lengkap'!$A$2:$L$166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J7" i="2"/>
  <c r="I11" i="2"/>
  <c r="I7" i="2"/>
  <c r="E11" i="2"/>
  <c r="E7" i="2"/>
  <c r="D7" i="2"/>
  <c r="D11" i="2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4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3" i="1"/>
</calcChain>
</file>

<file path=xl/sharedStrings.xml><?xml version="1.0" encoding="utf-8"?>
<sst xmlns="http://schemas.openxmlformats.org/spreadsheetml/2006/main" count="630" uniqueCount="101">
  <si>
    <t>PROVINSI</t>
  </si>
  <si>
    <t>REGION</t>
  </si>
  <si>
    <t>KABUPATEN</t>
  </si>
  <si>
    <t>JAWA TIMUR</t>
  </si>
  <si>
    <t>SURABAYA</t>
  </si>
  <si>
    <t>GRESIK</t>
  </si>
  <si>
    <t>SIDOARJO</t>
  </si>
  <si>
    <t>BANYUWANGI</t>
  </si>
  <si>
    <t>JEMBER</t>
  </si>
  <si>
    <t>BONDOWOSO</t>
  </si>
  <si>
    <t>SITUBONDO</t>
  </si>
  <si>
    <t>LAMONGAN</t>
  </si>
  <si>
    <t>PASURUAN</t>
  </si>
  <si>
    <t>MADURA</t>
  </si>
  <si>
    <t>BANGKALAN</t>
  </si>
  <si>
    <t>SAMPANG</t>
  </si>
  <si>
    <t>PAMEKASAN</t>
  </si>
  <si>
    <t>SUMENEP</t>
  </si>
  <si>
    <t>PROBOLINGGO</t>
  </si>
  <si>
    <t>LUMAJANG</t>
  </si>
  <si>
    <t>BOJONEGORO</t>
  </si>
  <si>
    <t>TUBAN</t>
  </si>
  <si>
    <t>MOJOKERTO</t>
  </si>
  <si>
    <t>JOMBANG</t>
  </si>
  <si>
    <t>KEDIRI</t>
  </si>
  <si>
    <t>NGANJUK</t>
  </si>
  <si>
    <t>BLITAR</t>
  </si>
  <si>
    <t>TULUNGAGUNG</t>
  </si>
  <si>
    <t>TRENGGALEK</t>
  </si>
  <si>
    <t>MADIUN</t>
  </si>
  <si>
    <t>MAGETAN</t>
  </si>
  <si>
    <t>NGAWI</t>
  </si>
  <si>
    <t>PONOROGO</t>
  </si>
  <si>
    <t>PACITAN</t>
  </si>
  <si>
    <t>MALANG</t>
  </si>
  <si>
    <t>JAWA TENGAH</t>
  </si>
  <si>
    <t>YOGYAKARTA</t>
  </si>
  <si>
    <t>BANTUL</t>
  </si>
  <si>
    <t>GUNUNG KIDUL</t>
  </si>
  <si>
    <t>KULON PROGO</t>
  </si>
  <si>
    <t>SLEMAN</t>
  </si>
  <si>
    <t>KEDU</t>
  </si>
  <si>
    <t>MAGELANG</t>
  </si>
  <si>
    <t>PURWOREJO</t>
  </si>
  <si>
    <t>BANYUMAS</t>
  </si>
  <si>
    <t>BANJARNEGARA</t>
  </si>
  <si>
    <t>CILACAP</t>
  </si>
  <si>
    <t>PURBALINGGA</t>
  </si>
  <si>
    <t>KEBUMEN</t>
  </si>
  <si>
    <t>TEMANGGUNG</t>
  </si>
  <si>
    <t>WONOSOBO</t>
  </si>
  <si>
    <t>SEMARANG</t>
  </si>
  <si>
    <t>JEPARA</t>
  </si>
  <si>
    <t>DEMAK</t>
  </si>
  <si>
    <t>KENDAL</t>
  </si>
  <si>
    <t>SALATIGA</t>
  </si>
  <si>
    <t>PATI</t>
  </si>
  <si>
    <t>BLORA</t>
  </si>
  <si>
    <t>REMBANG</t>
  </si>
  <si>
    <t>KUDUS</t>
  </si>
  <si>
    <t>GROBOGAN</t>
  </si>
  <si>
    <t>BATANG</t>
  </si>
  <si>
    <t>PEKALONGAN</t>
  </si>
  <si>
    <t>BREBES</t>
  </si>
  <si>
    <t>TEGAL</t>
  </si>
  <si>
    <t>PEMALANG</t>
  </si>
  <si>
    <t>SOLO</t>
  </si>
  <si>
    <t>BOYOLALI</t>
  </si>
  <si>
    <t>KARANGANYAR</t>
  </si>
  <si>
    <t>KLATEN</t>
  </si>
  <si>
    <t>SURAKARTA</t>
  </si>
  <si>
    <t>SRAGEN</t>
  </si>
  <si>
    <t>SUKOHARJO</t>
  </si>
  <si>
    <t>WONOGIRI</t>
  </si>
  <si>
    <t>JAWA BARAT</t>
  </si>
  <si>
    <t>BANJAR</t>
  </si>
  <si>
    <t>CIAMIS</t>
  </si>
  <si>
    <t>PANGANDARAN</t>
  </si>
  <si>
    <t>TASIKMALAYA</t>
  </si>
  <si>
    <t>BALI</t>
  </si>
  <si>
    <t>FRANCO CD (Tebal 10)</t>
  </si>
  <si>
    <t>FRANCO TRONTON (Tebal 10)</t>
  </si>
  <si>
    <t>List Pick</t>
  </si>
  <si>
    <t>HARGA FRANCO COLT DIESEL</t>
  </si>
  <si>
    <t>HARGA FRANCO TRONTON</t>
  </si>
  <si>
    <t>SILAHKAN DI PICK</t>
  </si>
  <si>
    <t>BRAND</t>
  </si>
  <si>
    <t>BLESSCON</t>
  </si>
  <si>
    <t>SUPERIOR</t>
  </si>
  <si>
    <t>KECAMATAN KHUSUS</t>
  </si>
  <si>
    <t>WAJAK, TUREN, GONDANGLEGI, WONOSARI, NGAJUNG(NGANJUM), SUMBERPUCUNG, KEPANJEN</t>
  </si>
  <si>
    <t>KOREMENGAN, PAGELARAN, GEDANGAN, KALIPARE, DAMPIT, TIRTOYUDO, AMPELGADING, SUMBERMANJINGWETAN, BANTUR, PAGAK, DONOMULYO</t>
  </si>
  <si>
    <t>MALANG 1</t>
  </si>
  <si>
    <t>MALANG 2</t>
  </si>
  <si>
    <t>MALANG 3</t>
  </si>
  <si>
    <t>JAWA TIMUR - NON BUNDLING</t>
  </si>
  <si>
    <t>JAWA TENGAH - NON BUNDLING</t>
  </si>
  <si>
    <t>NON BUNDLING</t>
  </si>
  <si>
    <t>BUNDLING SEMEN</t>
  </si>
  <si>
    <t>JAWA TIMUR - BUNDLING SEMEN 10 SAK</t>
  </si>
  <si>
    <t>JAWA TENGAH - BUNDLING SEMEN 10 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</si>
</sst>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horizontal="center"/>
    </xf>
    <xf numFmtId="0" fontId="6" fillId="3" borderId="0" xfId="0" applyFont="1" applyFill="1"/>
    <xf numFmtId="0" fontId="2" fillId="0" borderId="4" xfId="0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Continuous"/>
    </xf>
    <xf numFmtId="0" fontId="3" fillId="2" borderId="7" xfId="0" applyFont="1" applyFill="1" applyBorder="1" applyAlignment="1">
      <alignment horizontal="centerContinuous"/>
    </xf>
    <xf numFmtId="0" fontId="5" fillId="2" borderId="7" xfId="0" applyFont="1" applyFill="1" applyBorder="1" applyAlignment="1">
      <alignment horizontal="centerContinuous"/>
    </xf>
    <xf numFmtId="0" fontId="5" fillId="2" borderId="8" xfId="0" applyFont="1" applyFill="1" applyBorder="1" applyAlignment="1">
      <alignment horizontal="centerContinuous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1" fontId="4" fillId="0" borderId="9" xfId="1" applyFont="1" applyFill="1" applyBorder="1" applyAlignment="1">
      <alignment horizontal="center" vertical="center"/>
    </xf>
    <xf numFmtId="41" fontId="4" fillId="0" borderId="2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Continuous"/>
    </xf>
    <xf numFmtId="0" fontId="8" fillId="4" borderId="7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Continuous"/>
    </xf>
    <xf numFmtId="0" fontId="7" fillId="4" borderId="8" xfId="0" applyFont="1" applyFill="1" applyBorder="1" applyAlignment="1">
      <alignment horizontal="centerContinuous"/>
    </xf>
    <xf numFmtId="0" fontId="8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539750</xdr:colOff>
      <xdr:row>0</xdr:row>
      <xdr:rowOff>120650</xdr:rowOff>
    </xdr:from>
    <xdr:to>
      <xdr:col>3</xdr:col>
      <xdr:colOff>1117257</xdr:colOff>
      <xdr:row>3</xdr:row>
      <xdr:rowOff>206295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0BACB-A7D8-4BD0-A27F-1F5C18041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945"/>
        <a:stretch/>
      </xdr:blipFill>
      <xdr:spPr>
        <a:xfrm>
          <a:off x="2546350" y="120650"/>
          <a:ext cx="577507" cy="638095"/>
        </a:xfrm>
        <a:prstGeom prst="rect">
          <a:avLst/>
        </a:prstGeom>
      </xdr:spPr>
    </xdr:pic>
    <xdr:clientData/>
  </xdr:twoCellAnchor>
  <xdr:twoCellAnchor>
    <xdr:from>
      <xdr:col>3</xdr:col>
      <xdr:colOff>31750</xdr:colOff>
      <xdr:row>3</xdr:row>
      <xdr:rowOff>120650</xdr:rowOff>
    </xdr:from>
    <xdr:to>
      <xdr:col>3</xdr:col>
      <xdr:colOff>577850</xdr:colOff>
      <xdr:row>6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DDF1F29-C615-41BC-8181-CAAA4CB241B6}"/>
            </a:ext>
          </a:extLst>
        </xdr:cNvPr>
        <xdr:cNvCxnSpPr/>
      </xdr:nvCxnSpPr>
      <xdr:spPr>
        <a:xfrm flipH="1">
          <a:off x="2038350" y="673100"/>
          <a:ext cx="546100" cy="1073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1339850</xdr:colOff>
      <xdr:row>3</xdr:row>
      <xdr:rowOff>88900</xdr:rowOff>
    </xdr:from>
    <xdr:to>
      <xdr:col>3</xdr:col>
      <xdr:colOff>565150</xdr:colOff>
      <xdr:row>6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A111E3-CA27-4BD1-A83C-F761314CC684}"/>
            </a:ext>
          </a:extLst>
        </xdr:cNvPr>
        <xdr:cNvCxnSpPr/>
      </xdr:nvCxnSpPr>
      <xdr:spPr>
        <a:xfrm flipH="1">
          <a:off x="1962150" y="641350"/>
          <a:ext cx="2095500" cy="1022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539750</xdr:colOff>
      <xdr:row>0</xdr:row>
      <xdr:rowOff>120650</xdr:rowOff>
    </xdr:from>
    <xdr:ext cx="577507" cy="635978"/>
    <xdr:pic>
      <xdr:nvPicPr>
        <xdr:cNvPr id="8" name="Picture 7">
          <a:extLst>
            <a:ext uri="{FF2B5EF4-FFF2-40B4-BE49-F238E27FC236}">
              <a16:creationId xmlns:a16="http://schemas.microsoft.com/office/drawing/2014/main" id="{3332F7A0-9E5F-4F28-A7A0-917D415D47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945"/>
        <a:stretch/>
      </xdr:blipFill>
      <xdr:spPr>
        <a:xfrm>
          <a:off x="3721806" y="120650"/>
          <a:ext cx="577507" cy="635978"/>
        </a:xfrm>
        <a:prstGeom prst="rect">
          <a:avLst/>
        </a:prstGeom>
      </xdr:spPr>
    </xdr:pic>
    <xdr:clientData/>
  </xdr:oneCellAnchor>
  <xdr:twoCellAnchor>
    <xdr:from>
      <xdr:col>8</xdr:col>
      <xdr:colOff>31750</xdr:colOff>
      <xdr:row>3</xdr:row>
      <xdr:rowOff>120650</xdr:rowOff>
    </xdr:from>
    <xdr:to>
      <xdr:col>8</xdr:col>
      <xdr:colOff>577850</xdr:colOff>
      <xdr:row>6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003F20-3ADE-4BE9-B928-1C83F0B0297E}"/>
            </a:ext>
          </a:extLst>
        </xdr:cNvPr>
        <xdr:cNvCxnSpPr/>
      </xdr:nvCxnSpPr>
      <xdr:spPr>
        <a:xfrm flipH="1">
          <a:off x="3213806" y="670983"/>
          <a:ext cx="546100" cy="1090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1339850</xdr:colOff>
      <xdr:row>3</xdr:row>
      <xdr:rowOff>88900</xdr:rowOff>
    </xdr:from>
    <xdr:to>
      <xdr:col>8</xdr:col>
      <xdr:colOff>565150</xdr:colOff>
      <xdr:row>6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E1D7C5-BA2E-4FC1-BA41-CA52C3601A00}"/>
            </a:ext>
          </a:extLst>
        </xdr:cNvPr>
        <xdr:cNvCxnSpPr/>
      </xdr:nvCxnSpPr>
      <xdr:spPr>
        <a:xfrm flipH="1">
          <a:off x="1795639" y="639233"/>
          <a:ext cx="1951567" cy="10456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AAEF-0DD5-4C30-BF2F-A85D0617B87C}">
  <sheetPr codeName="Sheet1"/>
  <dimension ref="A1:J166"/>
  <sheetViews>
    <sheetView tabSelected="1" zoomScale="85" zoomScaleNormal="85" workbookViewId="0">
      <pane xSplit="5" ySplit="2" topLeftCell="F66" activePane="bottomRight" state="frozen"/>
      <selection pane="topRight" activeCell="D1" sqref="D1"/>
      <selection pane="bottomLeft" activeCell="A2" sqref="A2"/>
      <selection pane="bottomRight" activeCell="K80" sqref="K80"/>
    </sheetView>
  </sheetViews>
  <sheetFormatPr defaultRowHeight="14.5" x14ac:dyDescent="0.35"/>
  <cols>
    <col min="1" max="1" width="11.6328125" style="10" customWidth="1"/>
    <col min="2" max="2" width="13.08984375" style="10" bestFit="1" customWidth="1"/>
    <col min="3" max="3" width="13.54296875" style="10" bestFit="1" customWidth="1"/>
    <col min="4" max="4" width="20.1796875" style="10" customWidth="1"/>
    <col min="5" max="5" width="14.453125" style="10" bestFit="1" customWidth="1"/>
    <col min="6" max="9" width="20.6328125" style="10" customWidth="1"/>
    <col min="10" max="10" width="24.36328125" hidden="1" customWidth="1"/>
    <col min="11" max="11" width="21.6328125" customWidth="1"/>
  </cols>
  <sheetData>
    <row r="1" spans="1:10" x14ac:dyDescent="0.35">
      <c r="F1" s="34" t="s">
        <v>97</v>
      </c>
      <c r="G1" s="34"/>
      <c r="H1" s="35" t="s">
        <v>98</v>
      </c>
      <c r="I1" s="35"/>
    </row>
    <row r="2" spans="1:10" ht="29" x14ac:dyDescent="0.35">
      <c r="A2" s="1" t="s">
        <v>86</v>
      </c>
      <c r="B2" s="1" t="s">
        <v>0</v>
      </c>
      <c r="C2" s="1" t="s">
        <v>1</v>
      </c>
      <c r="D2" s="1" t="s">
        <v>89</v>
      </c>
      <c r="E2" s="1" t="s">
        <v>2</v>
      </c>
      <c r="F2" s="1" t="s">
        <v>80</v>
      </c>
      <c r="G2" s="1" t="s">
        <v>81</v>
      </c>
      <c r="H2" s="1" t="s">
        <v>80</v>
      </c>
      <c r="I2" s="1" t="s">
        <v>81</v>
      </c>
      <c r="J2" s="8" t="s">
        <v>82</v>
      </c>
    </row>
    <row r="3" spans="1:10" x14ac:dyDescent="0.35">
      <c r="A3" s="2" t="s">
        <v>87</v>
      </c>
      <c r="B3" s="2" t="s">
        <v>3</v>
      </c>
      <c r="C3" s="2" t="s">
        <v>4</v>
      </c>
      <c r="D3" s="2"/>
      <c r="E3" s="2" t="s">
        <v>4</v>
      </c>
      <c r="F3" s="9">
        <v>670000</v>
      </c>
      <c r="G3" s="9">
        <v>630000</v>
      </c>
      <c r="H3" s="9">
        <v>690000</v>
      </c>
      <c r="I3" s="9">
        <v>635000</v>
      </c>
      <c r="J3" t="str">
        <f>E3</f>
        <v>SURABAYA</v>
      </c>
    </row>
    <row r="4" spans="1:10" x14ac:dyDescent="0.35">
      <c r="A4" s="2" t="s">
        <v>87</v>
      </c>
      <c r="B4" s="2" t="s">
        <v>3</v>
      </c>
      <c r="C4" s="2" t="s">
        <v>4</v>
      </c>
      <c r="D4" s="2"/>
      <c r="E4" s="2" t="s">
        <v>5</v>
      </c>
      <c r="F4" s="9">
        <v>670000</v>
      </c>
      <c r="G4" s="9">
        <v>630000</v>
      </c>
      <c r="H4" s="9">
        <v>690000</v>
      </c>
      <c r="I4" s="9">
        <v>635000</v>
      </c>
      <c r="J4" t="str">
        <f t="shared" ref="J4:J67" si="0">E4</f>
        <v>GRESIK</v>
      </c>
    </row>
    <row r="5" spans="1:10" x14ac:dyDescent="0.35">
      <c r="A5" s="2" t="s">
        <v>87</v>
      </c>
      <c r="B5" s="2" t="s">
        <v>3</v>
      </c>
      <c r="C5" s="2" t="s">
        <v>4</v>
      </c>
      <c r="D5" s="2"/>
      <c r="E5" s="2" t="s">
        <v>6</v>
      </c>
      <c r="F5" s="9">
        <v>660000</v>
      </c>
      <c r="G5" s="9">
        <v>630000</v>
      </c>
      <c r="H5" s="9">
        <v>680000</v>
      </c>
      <c r="I5" s="9">
        <v>635000</v>
      </c>
      <c r="J5" t="str">
        <f t="shared" si="0"/>
        <v>SIDOARJO</v>
      </c>
    </row>
    <row r="6" spans="1:10" x14ac:dyDescent="0.35">
      <c r="A6" s="2" t="s">
        <v>87</v>
      </c>
      <c r="B6" s="2" t="s">
        <v>3</v>
      </c>
      <c r="C6" s="2" t="s">
        <v>7</v>
      </c>
      <c r="D6" s="2"/>
      <c r="E6" s="2" t="s">
        <v>7</v>
      </c>
      <c r="F6" s="9">
        <v>770000</v>
      </c>
      <c r="G6" s="9">
        <v>700000</v>
      </c>
      <c r="H6" s="9">
        <v>790000</v>
      </c>
      <c r="I6" s="9">
        <v>705000</v>
      </c>
      <c r="J6" t="str">
        <f t="shared" si="0"/>
        <v>BANYUWANGI</v>
      </c>
    </row>
    <row r="7" spans="1:10" x14ac:dyDescent="0.35">
      <c r="A7" s="2" t="s">
        <v>87</v>
      </c>
      <c r="B7" s="2" t="s">
        <v>3</v>
      </c>
      <c r="C7" s="2" t="s">
        <v>8</v>
      </c>
      <c r="D7" s="2"/>
      <c r="E7" s="2" t="s">
        <v>9</v>
      </c>
      <c r="F7" s="9">
        <v>700000</v>
      </c>
      <c r="G7" s="9">
        <v>670000</v>
      </c>
      <c r="H7" s="9">
        <v>720000</v>
      </c>
      <c r="I7" s="9">
        <v>675000</v>
      </c>
      <c r="J7" t="str">
        <f t="shared" si="0"/>
        <v>BONDOWOSO</v>
      </c>
    </row>
    <row r="8" spans="1:10" x14ac:dyDescent="0.35">
      <c r="A8" s="2" t="s">
        <v>87</v>
      </c>
      <c r="B8" s="2" t="s">
        <v>3</v>
      </c>
      <c r="C8" s="2" t="s">
        <v>8</v>
      </c>
      <c r="D8" s="2"/>
      <c r="E8" s="2" t="s">
        <v>8</v>
      </c>
      <c r="F8" s="9">
        <v>690000</v>
      </c>
      <c r="G8" s="9">
        <v>670000</v>
      </c>
      <c r="H8" s="9">
        <v>710000</v>
      </c>
      <c r="I8" s="9">
        <v>675000</v>
      </c>
      <c r="J8" t="str">
        <f t="shared" si="0"/>
        <v>JEMBER</v>
      </c>
    </row>
    <row r="9" spans="1:10" x14ac:dyDescent="0.35">
      <c r="A9" s="2" t="s">
        <v>87</v>
      </c>
      <c r="B9" s="2" t="s">
        <v>3</v>
      </c>
      <c r="C9" s="2" t="s">
        <v>8</v>
      </c>
      <c r="D9" s="2"/>
      <c r="E9" s="2" t="s">
        <v>10</v>
      </c>
      <c r="F9" s="9">
        <v>695000</v>
      </c>
      <c r="G9" s="9">
        <v>670000</v>
      </c>
      <c r="H9" s="9">
        <v>715000</v>
      </c>
      <c r="I9" s="9">
        <v>675000</v>
      </c>
      <c r="J9" t="str">
        <f t="shared" si="0"/>
        <v>SITUBONDO</v>
      </c>
    </row>
    <row r="10" spans="1:10" x14ac:dyDescent="0.35">
      <c r="A10" s="2" t="s">
        <v>87</v>
      </c>
      <c r="B10" s="2" t="s">
        <v>3</v>
      </c>
      <c r="C10" s="2" t="s">
        <v>11</v>
      </c>
      <c r="D10" s="2"/>
      <c r="E10" s="2" t="s">
        <v>11</v>
      </c>
      <c r="F10" s="9">
        <v>690000</v>
      </c>
      <c r="G10" s="9">
        <v>640000</v>
      </c>
      <c r="H10" s="9">
        <v>710000</v>
      </c>
      <c r="I10" s="9">
        <v>645000</v>
      </c>
      <c r="J10" t="str">
        <f t="shared" si="0"/>
        <v>LAMONGAN</v>
      </c>
    </row>
    <row r="11" spans="1:10" x14ac:dyDescent="0.35">
      <c r="A11" s="2" t="s">
        <v>87</v>
      </c>
      <c r="B11" s="2" t="s">
        <v>3</v>
      </c>
      <c r="C11" s="2" t="s">
        <v>12</v>
      </c>
      <c r="D11" s="2"/>
      <c r="E11" s="2" t="s">
        <v>12</v>
      </c>
      <c r="F11" s="9">
        <v>605000</v>
      </c>
      <c r="G11" s="9">
        <v>590000</v>
      </c>
      <c r="H11" s="9">
        <v>625000</v>
      </c>
      <c r="I11" s="9">
        <v>595000</v>
      </c>
      <c r="J11" t="str">
        <f t="shared" si="0"/>
        <v>PASURUAN</v>
      </c>
    </row>
    <row r="12" spans="1:10" x14ac:dyDescent="0.35">
      <c r="A12" s="2" t="s">
        <v>87</v>
      </c>
      <c r="B12" s="2" t="s">
        <v>3</v>
      </c>
      <c r="C12" s="2" t="s">
        <v>13</v>
      </c>
      <c r="D12" s="2"/>
      <c r="E12" s="2" t="s">
        <v>14</v>
      </c>
      <c r="F12" s="9">
        <v>700000</v>
      </c>
      <c r="G12" s="9">
        <v>645000</v>
      </c>
      <c r="H12" s="9">
        <v>720000</v>
      </c>
      <c r="I12" s="9">
        <v>650000</v>
      </c>
      <c r="J12" t="str">
        <f t="shared" si="0"/>
        <v>BANGKALAN</v>
      </c>
    </row>
    <row r="13" spans="1:10" x14ac:dyDescent="0.35">
      <c r="A13" s="2" t="s">
        <v>87</v>
      </c>
      <c r="B13" s="2" t="s">
        <v>3</v>
      </c>
      <c r="C13" s="2" t="s">
        <v>13</v>
      </c>
      <c r="D13" s="2"/>
      <c r="E13" s="2" t="s">
        <v>15</v>
      </c>
      <c r="F13" s="9">
        <v>720000</v>
      </c>
      <c r="G13" s="9">
        <v>665000</v>
      </c>
      <c r="H13" s="9">
        <v>740000</v>
      </c>
      <c r="I13" s="9">
        <v>670000</v>
      </c>
      <c r="J13" t="str">
        <f t="shared" si="0"/>
        <v>SAMPANG</v>
      </c>
    </row>
    <row r="14" spans="1:10" x14ac:dyDescent="0.35">
      <c r="A14" s="2" t="s">
        <v>87</v>
      </c>
      <c r="B14" s="2" t="s">
        <v>3</v>
      </c>
      <c r="C14" s="2" t="s">
        <v>13</v>
      </c>
      <c r="D14" s="2"/>
      <c r="E14" s="2" t="s">
        <v>16</v>
      </c>
      <c r="F14" s="9">
        <v>730000</v>
      </c>
      <c r="G14" s="9">
        <v>675000</v>
      </c>
      <c r="H14" s="9">
        <v>750000</v>
      </c>
      <c r="I14" s="9">
        <v>680000</v>
      </c>
      <c r="J14" t="str">
        <f t="shared" si="0"/>
        <v>PAMEKASAN</v>
      </c>
    </row>
    <row r="15" spans="1:10" x14ac:dyDescent="0.35">
      <c r="A15" s="2" t="s">
        <v>87</v>
      </c>
      <c r="B15" s="2" t="s">
        <v>3</v>
      </c>
      <c r="C15" s="2" t="s">
        <v>13</v>
      </c>
      <c r="D15" s="2"/>
      <c r="E15" s="2" t="s">
        <v>17</v>
      </c>
      <c r="F15" s="9">
        <v>750000</v>
      </c>
      <c r="G15" s="9">
        <v>685000</v>
      </c>
      <c r="H15" s="9">
        <v>770000</v>
      </c>
      <c r="I15" s="9">
        <v>690000</v>
      </c>
      <c r="J15" t="str">
        <f t="shared" si="0"/>
        <v>SUMENEP</v>
      </c>
    </row>
    <row r="16" spans="1:10" x14ac:dyDescent="0.35">
      <c r="A16" s="2" t="s">
        <v>87</v>
      </c>
      <c r="B16" s="2" t="s">
        <v>3</v>
      </c>
      <c r="C16" s="2" t="s">
        <v>18</v>
      </c>
      <c r="D16" s="2"/>
      <c r="E16" s="2" t="s">
        <v>19</v>
      </c>
      <c r="F16" s="9">
        <v>680000</v>
      </c>
      <c r="G16" s="9">
        <v>640000</v>
      </c>
      <c r="H16" s="9">
        <v>700000</v>
      </c>
      <c r="I16" s="9">
        <v>645000</v>
      </c>
      <c r="J16" t="str">
        <f t="shared" si="0"/>
        <v>LUMAJANG</v>
      </c>
    </row>
    <row r="17" spans="1:10" x14ac:dyDescent="0.35">
      <c r="A17" s="2" t="s">
        <v>87</v>
      </c>
      <c r="B17" s="2" t="s">
        <v>3</v>
      </c>
      <c r="C17" s="2" t="s">
        <v>18</v>
      </c>
      <c r="D17" s="2"/>
      <c r="E17" s="2" t="s">
        <v>18</v>
      </c>
      <c r="F17" s="9">
        <v>655000</v>
      </c>
      <c r="G17" s="9">
        <v>640000</v>
      </c>
      <c r="H17" s="9">
        <v>675000</v>
      </c>
      <c r="I17" s="9">
        <v>645000</v>
      </c>
      <c r="J17" t="str">
        <f t="shared" si="0"/>
        <v>PROBOLINGGO</v>
      </c>
    </row>
    <row r="18" spans="1:10" x14ac:dyDescent="0.35">
      <c r="A18" s="2" t="s">
        <v>87</v>
      </c>
      <c r="B18" s="2" t="s">
        <v>3</v>
      </c>
      <c r="C18" s="2" t="s">
        <v>20</v>
      </c>
      <c r="D18" s="2"/>
      <c r="E18" s="2" t="s">
        <v>20</v>
      </c>
      <c r="F18" s="9">
        <v>715000</v>
      </c>
      <c r="G18" s="9">
        <v>660000</v>
      </c>
      <c r="H18" s="9">
        <v>735000</v>
      </c>
      <c r="I18" s="9">
        <v>665000</v>
      </c>
      <c r="J18" t="str">
        <f t="shared" si="0"/>
        <v>BOJONEGORO</v>
      </c>
    </row>
    <row r="19" spans="1:10" x14ac:dyDescent="0.35">
      <c r="A19" s="2" t="s">
        <v>87</v>
      </c>
      <c r="B19" s="2" t="s">
        <v>3</v>
      </c>
      <c r="C19" s="2" t="s">
        <v>20</v>
      </c>
      <c r="D19" s="2"/>
      <c r="E19" s="2" t="s">
        <v>21</v>
      </c>
      <c r="F19" s="9">
        <v>720000</v>
      </c>
      <c r="G19" s="9">
        <v>655000</v>
      </c>
      <c r="H19" s="9">
        <v>740000</v>
      </c>
      <c r="I19" s="9">
        <v>660000</v>
      </c>
      <c r="J19" t="str">
        <f t="shared" si="0"/>
        <v>TUBAN</v>
      </c>
    </row>
    <row r="20" spans="1:10" x14ac:dyDescent="0.35">
      <c r="A20" s="2" t="s">
        <v>87</v>
      </c>
      <c r="B20" s="2" t="s">
        <v>3</v>
      </c>
      <c r="C20" s="2" t="s">
        <v>22</v>
      </c>
      <c r="D20" s="2"/>
      <c r="E20" s="2" t="s">
        <v>23</v>
      </c>
      <c r="F20" s="9">
        <v>640000</v>
      </c>
      <c r="G20" s="9">
        <v>625000</v>
      </c>
      <c r="H20" s="9">
        <v>660000</v>
      </c>
      <c r="I20" s="9">
        <v>630000</v>
      </c>
      <c r="J20" t="str">
        <f t="shared" si="0"/>
        <v>JOMBANG</v>
      </c>
    </row>
    <row r="21" spans="1:10" x14ac:dyDescent="0.35">
      <c r="A21" s="2" t="s">
        <v>87</v>
      </c>
      <c r="B21" s="2" t="s">
        <v>3</v>
      </c>
      <c r="C21" s="2" t="s">
        <v>22</v>
      </c>
      <c r="D21" s="2"/>
      <c r="E21" s="2" t="s">
        <v>22</v>
      </c>
      <c r="F21" s="9">
        <v>640000</v>
      </c>
      <c r="G21" s="9">
        <v>625000</v>
      </c>
      <c r="H21" s="9">
        <v>660000</v>
      </c>
      <c r="I21" s="9">
        <v>630000</v>
      </c>
      <c r="J21" t="str">
        <f t="shared" si="0"/>
        <v>MOJOKERTO</v>
      </c>
    </row>
    <row r="22" spans="1:10" x14ac:dyDescent="0.35">
      <c r="A22" s="2" t="s">
        <v>87</v>
      </c>
      <c r="B22" s="2" t="s">
        <v>3</v>
      </c>
      <c r="C22" s="2" t="s">
        <v>24</v>
      </c>
      <c r="D22" s="2"/>
      <c r="E22" s="2" t="s">
        <v>24</v>
      </c>
      <c r="F22" s="9">
        <v>645000</v>
      </c>
      <c r="G22" s="9">
        <v>610000</v>
      </c>
      <c r="H22" s="9">
        <v>665000</v>
      </c>
      <c r="I22" s="9">
        <v>615000</v>
      </c>
      <c r="J22" t="str">
        <f t="shared" si="0"/>
        <v>KEDIRI</v>
      </c>
    </row>
    <row r="23" spans="1:10" x14ac:dyDescent="0.35">
      <c r="A23" s="2" t="s">
        <v>87</v>
      </c>
      <c r="B23" s="2" t="s">
        <v>3</v>
      </c>
      <c r="C23" s="2" t="s">
        <v>24</v>
      </c>
      <c r="D23" s="2"/>
      <c r="E23" s="2" t="s">
        <v>25</v>
      </c>
      <c r="F23" s="9">
        <v>645000</v>
      </c>
      <c r="G23" s="9">
        <v>610000</v>
      </c>
      <c r="H23" s="9">
        <v>665000</v>
      </c>
      <c r="I23" s="9">
        <v>615000</v>
      </c>
      <c r="J23" t="str">
        <f t="shared" si="0"/>
        <v>NGANJUK</v>
      </c>
    </row>
    <row r="24" spans="1:10" x14ac:dyDescent="0.35">
      <c r="A24" s="2" t="s">
        <v>87</v>
      </c>
      <c r="B24" s="2" t="s">
        <v>3</v>
      </c>
      <c r="C24" s="2" t="s">
        <v>24</v>
      </c>
      <c r="D24" s="2"/>
      <c r="E24" s="2" t="s">
        <v>26</v>
      </c>
      <c r="F24" s="9">
        <v>675000</v>
      </c>
      <c r="G24" s="9">
        <v>620000</v>
      </c>
      <c r="H24" s="9">
        <v>695000</v>
      </c>
      <c r="I24" s="9">
        <v>625000</v>
      </c>
      <c r="J24" t="str">
        <f t="shared" si="0"/>
        <v>BLITAR</v>
      </c>
    </row>
    <row r="25" spans="1:10" x14ac:dyDescent="0.35">
      <c r="A25" s="2" t="s">
        <v>87</v>
      </c>
      <c r="B25" s="2" t="s">
        <v>3</v>
      </c>
      <c r="C25" s="2" t="s">
        <v>24</v>
      </c>
      <c r="D25" s="2"/>
      <c r="E25" s="2" t="s">
        <v>27</v>
      </c>
      <c r="F25" s="9">
        <v>675000</v>
      </c>
      <c r="G25" s="9">
        <v>620000</v>
      </c>
      <c r="H25" s="9">
        <v>695000</v>
      </c>
      <c r="I25" s="9">
        <v>625000</v>
      </c>
      <c r="J25" t="str">
        <f t="shared" si="0"/>
        <v>TULUNGAGUNG</v>
      </c>
    </row>
    <row r="26" spans="1:10" x14ac:dyDescent="0.35">
      <c r="A26" s="2" t="s">
        <v>87</v>
      </c>
      <c r="B26" s="2" t="s">
        <v>3</v>
      </c>
      <c r="C26" s="2" t="s">
        <v>24</v>
      </c>
      <c r="D26" s="2"/>
      <c r="E26" s="2" t="s">
        <v>28</v>
      </c>
      <c r="F26" s="9">
        <v>675000</v>
      </c>
      <c r="G26" s="9">
        <v>620000</v>
      </c>
      <c r="H26" s="9">
        <v>695000</v>
      </c>
      <c r="I26" s="9">
        <v>625000</v>
      </c>
      <c r="J26" t="str">
        <f t="shared" si="0"/>
        <v>TRENGGALEK</v>
      </c>
    </row>
    <row r="27" spans="1:10" x14ac:dyDescent="0.35">
      <c r="A27" s="2" t="s">
        <v>87</v>
      </c>
      <c r="B27" s="2" t="s">
        <v>3</v>
      </c>
      <c r="C27" s="2" t="s">
        <v>29</v>
      </c>
      <c r="D27" s="2"/>
      <c r="E27" s="2" t="s">
        <v>29</v>
      </c>
      <c r="F27" s="9">
        <v>695000</v>
      </c>
      <c r="G27" s="9">
        <v>660000</v>
      </c>
      <c r="H27" s="9">
        <v>715000</v>
      </c>
      <c r="I27" s="9">
        <v>665000</v>
      </c>
      <c r="J27" t="str">
        <f t="shared" si="0"/>
        <v>MADIUN</v>
      </c>
    </row>
    <row r="28" spans="1:10" x14ac:dyDescent="0.35">
      <c r="A28" s="2" t="s">
        <v>87</v>
      </c>
      <c r="B28" s="2" t="s">
        <v>3</v>
      </c>
      <c r="C28" s="2" t="s">
        <v>29</v>
      </c>
      <c r="D28" s="2"/>
      <c r="E28" s="2" t="s">
        <v>30</v>
      </c>
      <c r="F28" s="9">
        <v>695000</v>
      </c>
      <c r="G28" s="9">
        <v>660000</v>
      </c>
      <c r="H28" s="9">
        <v>715000</v>
      </c>
      <c r="I28" s="9">
        <v>665000</v>
      </c>
      <c r="J28" t="str">
        <f t="shared" si="0"/>
        <v>MAGETAN</v>
      </c>
    </row>
    <row r="29" spans="1:10" x14ac:dyDescent="0.35">
      <c r="A29" s="2" t="s">
        <v>87</v>
      </c>
      <c r="B29" s="2" t="s">
        <v>3</v>
      </c>
      <c r="C29" s="2" t="s">
        <v>29</v>
      </c>
      <c r="D29" s="2"/>
      <c r="E29" s="2" t="s">
        <v>31</v>
      </c>
      <c r="F29" s="9">
        <v>690000</v>
      </c>
      <c r="G29" s="9">
        <v>660000</v>
      </c>
      <c r="H29" s="9">
        <v>710000</v>
      </c>
      <c r="I29" s="9">
        <v>665000</v>
      </c>
      <c r="J29" t="str">
        <f t="shared" si="0"/>
        <v>NGAWI</v>
      </c>
    </row>
    <row r="30" spans="1:10" x14ac:dyDescent="0.35">
      <c r="A30" s="2" t="s">
        <v>87</v>
      </c>
      <c r="B30" s="2" t="s">
        <v>3</v>
      </c>
      <c r="C30" s="2" t="s">
        <v>29</v>
      </c>
      <c r="D30" s="2"/>
      <c r="E30" s="2" t="s">
        <v>32</v>
      </c>
      <c r="F30" s="9">
        <v>700000</v>
      </c>
      <c r="G30" s="9">
        <v>660000</v>
      </c>
      <c r="H30" s="9">
        <v>720000</v>
      </c>
      <c r="I30" s="9">
        <v>665000</v>
      </c>
      <c r="J30" t="str">
        <f t="shared" si="0"/>
        <v>PONOROGO</v>
      </c>
    </row>
    <row r="31" spans="1:10" x14ac:dyDescent="0.35">
      <c r="A31" s="2" t="s">
        <v>87</v>
      </c>
      <c r="B31" s="2" t="s">
        <v>3</v>
      </c>
      <c r="C31" s="2" t="s">
        <v>29</v>
      </c>
      <c r="D31" s="2"/>
      <c r="E31" s="2" t="s">
        <v>33</v>
      </c>
      <c r="F31" s="9">
        <v>715000</v>
      </c>
      <c r="G31" s="9">
        <v>680000</v>
      </c>
      <c r="H31" s="9">
        <v>735000</v>
      </c>
      <c r="I31" s="9">
        <v>685000</v>
      </c>
      <c r="J31" t="str">
        <f t="shared" si="0"/>
        <v>PACITAN</v>
      </c>
    </row>
    <row r="32" spans="1:10" x14ac:dyDescent="0.35">
      <c r="A32" s="2" t="s">
        <v>87</v>
      </c>
      <c r="B32" s="2" t="s">
        <v>3</v>
      </c>
      <c r="C32" s="2" t="s">
        <v>34</v>
      </c>
      <c r="D32" s="2"/>
      <c r="E32" s="2" t="s">
        <v>92</v>
      </c>
      <c r="F32" s="9">
        <v>660000</v>
      </c>
      <c r="G32" s="9">
        <v>640000</v>
      </c>
      <c r="H32" s="9">
        <v>680000</v>
      </c>
      <c r="I32" s="9">
        <v>645000</v>
      </c>
      <c r="J32" t="str">
        <f t="shared" si="0"/>
        <v>MALANG 1</v>
      </c>
    </row>
    <row r="33" spans="1:10" x14ac:dyDescent="0.35">
      <c r="A33" s="2" t="s">
        <v>87</v>
      </c>
      <c r="B33" s="2" t="s">
        <v>3</v>
      </c>
      <c r="C33" s="2" t="s">
        <v>34</v>
      </c>
      <c r="D33" s="2" t="s">
        <v>90</v>
      </c>
      <c r="E33" s="2" t="s">
        <v>93</v>
      </c>
      <c r="F33" s="9">
        <v>660000</v>
      </c>
      <c r="G33" s="9">
        <v>640000</v>
      </c>
      <c r="H33" s="9">
        <v>680000</v>
      </c>
      <c r="I33" s="9">
        <v>645000</v>
      </c>
      <c r="J33" t="str">
        <f t="shared" si="0"/>
        <v>MALANG 2</v>
      </c>
    </row>
    <row r="34" spans="1:10" x14ac:dyDescent="0.35">
      <c r="A34" s="2" t="s">
        <v>87</v>
      </c>
      <c r="B34" s="2" t="s">
        <v>3</v>
      </c>
      <c r="C34" s="2" t="s">
        <v>34</v>
      </c>
      <c r="D34" s="2" t="s">
        <v>91</v>
      </c>
      <c r="E34" s="2" t="s">
        <v>94</v>
      </c>
      <c r="F34" s="9">
        <v>670000</v>
      </c>
      <c r="G34" s="9">
        <v>640000</v>
      </c>
      <c r="H34" s="9">
        <v>690000</v>
      </c>
      <c r="I34" s="9">
        <v>645000</v>
      </c>
      <c r="J34" t="str">
        <f t="shared" si="0"/>
        <v>MALANG 3</v>
      </c>
    </row>
    <row r="35" spans="1:10" x14ac:dyDescent="0.35">
      <c r="A35" s="2" t="s">
        <v>87</v>
      </c>
      <c r="B35" s="2" t="s">
        <v>35</v>
      </c>
      <c r="C35" s="2" t="s">
        <v>36</v>
      </c>
      <c r="D35" s="2"/>
      <c r="E35" s="3" t="s">
        <v>37</v>
      </c>
      <c r="F35" s="9">
        <v>730000</v>
      </c>
      <c r="G35" s="9">
        <v>690000</v>
      </c>
      <c r="H35" s="9">
        <v>750000</v>
      </c>
      <c r="I35" s="9">
        <v>695000</v>
      </c>
      <c r="J35" t="str">
        <f t="shared" si="0"/>
        <v>BANTUL</v>
      </c>
    </row>
    <row r="36" spans="1:10" x14ac:dyDescent="0.35">
      <c r="A36" s="2" t="s">
        <v>87</v>
      </c>
      <c r="B36" s="2" t="s">
        <v>35</v>
      </c>
      <c r="C36" s="2" t="s">
        <v>36</v>
      </c>
      <c r="D36" s="2"/>
      <c r="E36" s="3" t="s">
        <v>38</v>
      </c>
      <c r="F36" s="9">
        <v>730000</v>
      </c>
      <c r="G36" s="9">
        <v>690000</v>
      </c>
      <c r="H36" s="9">
        <v>750000</v>
      </c>
      <c r="I36" s="9">
        <v>695000</v>
      </c>
      <c r="J36" t="str">
        <f t="shared" si="0"/>
        <v>GUNUNG KIDUL</v>
      </c>
    </row>
    <row r="37" spans="1:10" x14ac:dyDescent="0.35">
      <c r="A37" s="2" t="s">
        <v>87</v>
      </c>
      <c r="B37" s="2" t="s">
        <v>35</v>
      </c>
      <c r="C37" s="2" t="s">
        <v>36</v>
      </c>
      <c r="D37" s="2"/>
      <c r="E37" s="3" t="s">
        <v>39</v>
      </c>
      <c r="F37" s="9">
        <v>730000</v>
      </c>
      <c r="G37" s="9">
        <v>690000</v>
      </c>
      <c r="H37" s="9">
        <v>750000</v>
      </c>
      <c r="I37" s="9">
        <v>695000</v>
      </c>
      <c r="J37" t="str">
        <f t="shared" si="0"/>
        <v>KULON PROGO</v>
      </c>
    </row>
    <row r="38" spans="1:10" x14ac:dyDescent="0.35">
      <c r="A38" s="2" t="s">
        <v>87</v>
      </c>
      <c r="B38" s="2" t="s">
        <v>35</v>
      </c>
      <c r="C38" s="2" t="s">
        <v>36</v>
      </c>
      <c r="D38" s="2"/>
      <c r="E38" s="3" t="s">
        <v>40</v>
      </c>
      <c r="F38" s="9">
        <v>730000</v>
      </c>
      <c r="G38" s="9">
        <v>690000</v>
      </c>
      <c r="H38" s="9">
        <v>750000</v>
      </c>
      <c r="I38" s="9">
        <v>695000</v>
      </c>
      <c r="J38" t="str">
        <f t="shared" si="0"/>
        <v>SLEMAN</v>
      </c>
    </row>
    <row r="39" spans="1:10" x14ac:dyDescent="0.35">
      <c r="A39" s="2" t="s">
        <v>87</v>
      </c>
      <c r="B39" s="2" t="s">
        <v>35</v>
      </c>
      <c r="C39" s="2" t="s">
        <v>36</v>
      </c>
      <c r="D39" s="2"/>
      <c r="E39" s="3" t="s">
        <v>36</v>
      </c>
      <c r="F39" s="9">
        <v>730000</v>
      </c>
      <c r="G39" s="9">
        <v>690000</v>
      </c>
      <c r="H39" s="9">
        <v>750000</v>
      </c>
      <c r="I39" s="9">
        <v>695000</v>
      </c>
      <c r="J39" t="str">
        <f t="shared" si="0"/>
        <v>YOGYAKARTA</v>
      </c>
    </row>
    <row r="40" spans="1:10" x14ac:dyDescent="0.35">
      <c r="A40" s="2" t="s">
        <v>87</v>
      </c>
      <c r="B40" s="2" t="s">
        <v>35</v>
      </c>
      <c r="C40" s="2" t="s">
        <v>44</v>
      </c>
      <c r="D40" s="2"/>
      <c r="E40" s="3" t="s">
        <v>45</v>
      </c>
      <c r="F40" s="9">
        <v>660000</v>
      </c>
      <c r="G40" s="9">
        <v>620000</v>
      </c>
      <c r="H40" s="9">
        <v>680000</v>
      </c>
      <c r="I40" s="9">
        <v>625000</v>
      </c>
      <c r="J40" t="str">
        <f t="shared" si="0"/>
        <v>BANJARNEGARA</v>
      </c>
    </row>
    <row r="41" spans="1:10" x14ac:dyDescent="0.35">
      <c r="A41" s="2" t="s">
        <v>87</v>
      </c>
      <c r="B41" s="2" t="s">
        <v>35</v>
      </c>
      <c r="C41" s="2" t="s">
        <v>44</v>
      </c>
      <c r="D41" s="2"/>
      <c r="E41" s="3" t="s">
        <v>44</v>
      </c>
      <c r="F41" s="9">
        <v>660000</v>
      </c>
      <c r="G41" s="9">
        <v>620000</v>
      </c>
      <c r="H41" s="9">
        <v>680000</v>
      </c>
      <c r="I41" s="9">
        <v>625000</v>
      </c>
      <c r="J41" t="str">
        <f t="shared" si="0"/>
        <v>BANYUMAS</v>
      </c>
    </row>
    <row r="42" spans="1:10" x14ac:dyDescent="0.35">
      <c r="A42" s="2" t="s">
        <v>87</v>
      </c>
      <c r="B42" s="2" t="s">
        <v>35</v>
      </c>
      <c r="C42" s="2" t="s">
        <v>44</v>
      </c>
      <c r="D42" s="2"/>
      <c r="E42" s="3" t="s">
        <v>46</v>
      </c>
      <c r="F42" s="9">
        <v>660000</v>
      </c>
      <c r="G42" s="9">
        <v>620000</v>
      </c>
      <c r="H42" s="9">
        <v>680000</v>
      </c>
      <c r="I42" s="9">
        <v>625000</v>
      </c>
      <c r="J42" t="str">
        <f t="shared" si="0"/>
        <v>CILACAP</v>
      </c>
    </row>
    <row r="43" spans="1:10" x14ac:dyDescent="0.35">
      <c r="A43" s="2" t="s">
        <v>87</v>
      </c>
      <c r="B43" s="2" t="s">
        <v>35</v>
      </c>
      <c r="C43" s="2" t="s">
        <v>44</v>
      </c>
      <c r="D43" s="2"/>
      <c r="E43" s="3" t="s">
        <v>47</v>
      </c>
      <c r="F43" s="9">
        <v>660000</v>
      </c>
      <c r="G43" s="9">
        <v>620000</v>
      </c>
      <c r="H43" s="9">
        <v>680000</v>
      </c>
      <c r="I43" s="9">
        <v>625000</v>
      </c>
      <c r="J43" t="str">
        <f t="shared" si="0"/>
        <v>PURBALINGGA</v>
      </c>
    </row>
    <row r="44" spans="1:10" x14ac:dyDescent="0.35">
      <c r="A44" s="2" t="s">
        <v>87</v>
      </c>
      <c r="B44" s="2" t="s">
        <v>35</v>
      </c>
      <c r="C44" s="2" t="s">
        <v>41</v>
      </c>
      <c r="D44" s="2"/>
      <c r="E44" s="3" t="s">
        <v>42</v>
      </c>
      <c r="F44" s="9">
        <v>700000</v>
      </c>
      <c r="G44" s="9">
        <v>660000</v>
      </c>
      <c r="H44" s="9">
        <v>720000</v>
      </c>
      <c r="I44" s="9">
        <v>665000</v>
      </c>
      <c r="J44" t="str">
        <f t="shared" si="0"/>
        <v>MAGELANG</v>
      </c>
    </row>
    <row r="45" spans="1:10" x14ac:dyDescent="0.35">
      <c r="A45" s="2" t="s">
        <v>87</v>
      </c>
      <c r="B45" s="2" t="s">
        <v>35</v>
      </c>
      <c r="C45" s="2" t="s">
        <v>41</v>
      </c>
      <c r="D45" s="2"/>
      <c r="E45" s="3" t="s">
        <v>43</v>
      </c>
      <c r="F45" s="9">
        <v>680000</v>
      </c>
      <c r="G45" s="9">
        <v>640000</v>
      </c>
      <c r="H45" s="9">
        <v>700000</v>
      </c>
      <c r="I45" s="9">
        <v>645000</v>
      </c>
      <c r="J45" t="str">
        <f t="shared" si="0"/>
        <v>PURWOREJO</v>
      </c>
    </row>
    <row r="46" spans="1:10" x14ac:dyDescent="0.35">
      <c r="A46" s="2" t="s">
        <v>87</v>
      </c>
      <c r="B46" s="2" t="s">
        <v>35</v>
      </c>
      <c r="C46" s="2" t="s">
        <v>41</v>
      </c>
      <c r="D46" s="2"/>
      <c r="E46" s="3" t="s">
        <v>48</v>
      </c>
      <c r="F46" s="9">
        <v>660000</v>
      </c>
      <c r="G46" s="9">
        <v>620000</v>
      </c>
      <c r="H46" s="9">
        <v>680000</v>
      </c>
      <c r="I46" s="9">
        <v>625000</v>
      </c>
      <c r="J46" t="str">
        <f t="shared" si="0"/>
        <v>KEBUMEN</v>
      </c>
    </row>
    <row r="47" spans="1:10" x14ac:dyDescent="0.35">
      <c r="A47" s="2" t="s">
        <v>87</v>
      </c>
      <c r="B47" s="2" t="s">
        <v>35</v>
      </c>
      <c r="C47" s="2" t="s">
        <v>41</v>
      </c>
      <c r="D47" s="2"/>
      <c r="E47" s="3" t="s">
        <v>49</v>
      </c>
      <c r="F47" s="9">
        <v>700000</v>
      </c>
      <c r="G47" s="9">
        <v>660000</v>
      </c>
      <c r="H47" s="9">
        <v>720000</v>
      </c>
      <c r="I47" s="9">
        <v>665000</v>
      </c>
      <c r="J47" t="str">
        <f t="shared" si="0"/>
        <v>TEMANGGUNG</v>
      </c>
    </row>
    <row r="48" spans="1:10" x14ac:dyDescent="0.35">
      <c r="A48" s="2" t="s">
        <v>87</v>
      </c>
      <c r="B48" s="2" t="s">
        <v>35</v>
      </c>
      <c r="C48" s="2" t="s">
        <v>41</v>
      </c>
      <c r="D48" s="2"/>
      <c r="E48" s="3" t="s">
        <v>50</v>
      </c>
      <c r="F48" s="9">
        <v>690000</v>
      </c>
      <c r="G48" s="9">
        <v>630000</v>
      </c>
      <c r="H48" s="9">
        <v>710000</v>
      </c>
      <c r="I48" s="9">
        <v>635000</v>
      </c>
      <c r="J48" t="str">
        <f t="shared" si="0"/>
        <v>WONOSOBO</v>
      </c>
    </row>
    <row r="49" spans="1:10" x14ac:dyDescent="0.35">
      <c r="A49" s="2" t="s">
        <v>87</v>
      </c>
      <c r="B49" s="2" t="s">
        <v>35</v>
      </c>
      <c r="C49" s="2" t="s">
        <v>51</v>
      </c>
      <c r="D49" s="2"/>
      <c r="E49" s="3" t="s">
        <v>52</v>
      </c>
      <c r="F49" s="9">
        <v>720000</v>
      </c>
      <c r="G49" s="9">
        <v>680000</v>
      </c>
      <c r="H49" s="9">
        <v>740000</v>
      </c>
      <c r="I49" s="9">
        <v>685000</v>
      </c>
      <c r="J49" t="str">
        <f t="shared" si="0"/>
        <v>JEPARA</v>
      </c>
    </row>
    <row r="50" spans="1:10" x14ac:dyDescent="0.35">
      <c r="A50" s="2" t="s">
        <v>87</v>
      </c>
      <c r="B50" s="2" t="s">
        <v>35</v>
      </c>
      <c r="C50" s="2" t="s">
        <v>51</v>
      </c>
      <c r="D50" s="2"/>
      <c r="E50" s="3" t="s">
        <v>61</v>
      </c>
      <c r="F50" s="9">
        <v>730000</v>
      </c>
      <c r="G50" s="9">
        <v>680000</v>
      </c>
      <c r="H50" s="9">
        <v>750000</v>
      </c>
      <c r="I50" s="9">
        <v>685000</v>
      </c>
      <c r="J50" t="str">
        <f t="shared" si="0"/>
        <v>BATANG</v>
      </c>
    </row>
    <row r="51" spans="1:10" x14ac:dyDescent="0.35">
      <c r="A51" s="2" t="s">
        <v>87</v>
      </c>
      <c r="B51" s="2" t="s">
        <v>35</v>
      </c>
      <c r="C51" s="2" t="s">
        <v>51</v>
      </c>
      <c r="D51" s="2"/>
      <c r="E51" s="3" t="s">
        <v>53</v>
      </c>
      <c r="F51" s="9">
        <v>710000</v>
      </c>
      <c r="G51" s="9">
        <v>680000</v>
      </c>
      <c r="H51" s="9">
        <v>730000</v>
      </c>
      <c r="I51" s="9">
        <v>685000</v>
      </c>
      <c r="J51" t="str">
        <f t="shared" si="0"/>
        <v>DEMAK</v>
      </c>
    </row>
    <row r="52" spans="1:10" x14ac:dyDescent="0.35">
      <c r="A52" s="2" t="s">
        <v>87</v>
      </c>
      <c r="B52" s="2" t="s">
        <v>35</v>
      </c>
      <c r="C52" s="2" t="s">
        <v>51</v>
      </c>
      <c r="D52" s="2"/>
      <c r="E52" s="3" t="s">
        <v>54</v>
      </c>
      <c r="F52" s="9">
        <v>710000</v>
      </c>
      <c r="G52" s="9">
        <v>680000</v>
      </c>
      <c r="H52" s="9">
        <v>730000</v>
      </c>
      <c r="I52" s="9">
        <v>685000</v>
      </c>
      <c r="J52" t="str">
        <f t="shared" si="0"/>
        <v>KENDAL</v>
      </c>
    </row>
    <row r="53" spans="1:10" x14ac:dyDescent="0.35">
      <c r="A53" s="2" t="s">
        <v>87</v>
      </c>
      <c r="B53" s="2" t="s">
        <v>35</v>
      </c>
      <c r="C53" s="2" t="s">
        <v>51</v>
      </c>
      <c r="D53" s="2"/>
      <c r="E53" s="3" t="s">
        <v>55</v>
      </c>
      <c r="F53" s="9">
        <v>710000</v>
      </c>
      <c r="G53" s="9">
        <v>680000</v>
      </c>
      <c r="H53" s="9">
        <v>730000</v>
      </c>
      <c r="I53" s="9">
        <v>685000</v>
      </c>
      <c r="J53" t="str">
        <f t="shared" si="0"/>
        <v>SALATIGA</v>
      </c>
    </row>
    <row r="54" spans="1:10" x14ac:dyDescent="0.35">
      <c r="A54" s="2" t="s">
        <v>87</v>
      </c>
      <c r="B54" s="2" t="s">
        <v>35</v>
      </c>
      <c r="C54" s="2" t="s">
        <v>51</v>
      </c>
      <c r="D54" s="2"/>
      <c r="E54" s="3" t="s">
        <v>51</v>
      </c>
      <c r="F54" s="9">
        <v>710000</v>
      </c>
      <c r="G54" s="9">
        <v>680000</v>
      </c>
      <c r="H54" s="9">
        <v>730000</v>
      </c>
      <c r="I54" s="9">
        <v>685000</v>
      </c>
      <c r="J54" t="str">
        <f t="shared" si="0"/>
        <v>SEMARANG</v>
      </c>
    </row>
    <row r="55" spans="1:10" x14ac:dyDescent="0.35">
      <c r="A55" s="2" t="s">
        <v>87</v>
      </c>
      <c r="B55" s="2" t="s">
        <v>35</v>
      </c>
      <c r="C55" s="2" t="s">
        <v>56</v>
      </c>
      <c r="D55" s="2"/>
      <c r="E55" s="3" t="s">
        <v>57</v>
      </c>
      <c r="F55" s="9">
        <v>710000</v>
      </c>
      <c r="G55" s="9">
        <v>680000</v>
      </c>
      <c r="H55" s="9">
        <v>730000</v>
      </c>
      <c r="I55" s="9">
        <v>685000</v>
      </c>
      <c r="J55" t="str">
        <f t="shared" si="0"/>
        <v>BLORA</v>
      </c>
    </row>
    <row r="56" spans="1:10" x14ac:dyDescent="0.35">
      <c r="A56" s="2" t="s">
        <v>87</v>
      </c>
      <c r="B56" s="2" t="s">
        <v>35</v>
      </c>
      <c r="C56" s="2" t="s">
        <v>56</v>
      </c>
      <c r="D56" s="2"/>
      <c r="E56" s="3" t="s">
        <v>56</v>
      </c>
      <c r="F56" s="9">
        <v>710000</v>
      </c>
      <c r="G56" s="9">
        <v>680000</v>
      </c>
      <c r="H56" s="9">
        <v>730000</v>
      </c>
      <c r="I56" s="9">
        <v>685000</v>
      </c>
      <c r="J56" t="str">
        <f t="shared" si="0"/>
        <v>PATI</v>
      </c>
    </row>
    <row r="57" spans="1:10" x14ac:dyDescent="0.35">
      <c r="A57" s="2" t="s">
        <v>87</v>
      </c>
      <c r="B57" s="2" t="s">
        <v>35</v>
      </c>
      <c r="C57" s="2" t="s">
        <v>56</v>
      </c>
      <c r="D57" s="2"/>
      <c r="E57" s="3" t="s">
        <v>58</v>
      </c>
      <c r="F57" s="9">
        <v>710000</v>
      </c>
      <c r="G57" s="9">
        <v>680000</v>
      </c>
      <c r="H57" s="9">
        <v>730000</v>
      </c>
      <c r="I57" s="9">
        <v>685000</v>
      </c>
      <c r="J57" t="str">
        <f t="shared" si="0"/>
        <v>REMBANG</v>
      </c>
    </row>
    <row r="58" spans="1:10" x14ac:dyDescent="0.35">
      <c r="A58" s="2" t="s">
        <v>87</v>
      </c>
      <c r="B58" s="2" t="s">
        <v>35</v>
      </c>
      <c r="C58" s="2" t="s">
        <v>56</v>
      </c>
      <c r="D58" s="2"/>
      <c r="E58" s="3" t="s">
        <v>59</v>
      </c>
      <c r="F58" s="9">
        <v>730000</v>
      </c>
      <c r="G58" s="9">
        <v>680000</v>
      </c>
      <c r="H58" s="9">
        <v>750000</v>
      </c>
      <c r="I58" s="9">
        <v>685000</v>
      </c>
      <c r="J58" t="str">
        <f t="shared" si="0"/>
        <v>KUDUS</v>
      </c>
    </row>
    <row r="59" spans="1:10" x14ac:dyDescent="0.35">
      <c r="A59" s="2" t="s">
        <v>87</v>
      </c>
      <c r="B59" s="2" t="s">
        <v>35</v>
      </c>
      <c r="C59" s="2" t="s">
        <v>56</v>
      </c>
      <c r="D59" s="2"/>
      <c r="E59" s="3" t="s">
        <v>60</v>
      </c>
      <c r="F59" s="9">
        <v>720000</v>
      </c>
      <c r="G59" s="9">
        <v>680000</v>
      </c>
      <c r="H59" s="9">
        <v>740000</v>
      </c>
      <c r="I59" s="9">
        <v>685000</v>
      </c>
      <c r="J59" t="str">
        <f t="shared" si="0"/>
        <v>GROBOGAN</v>
      </c>
    </row>
    <row r="60" spans="1:10" x14ac:dyDescent="0.35">
      <c r="A60" s="2" t="s">
        <v>87</v>
      </c>
      <c r="B60" s="2" t="s">
        <v>35</v>
      </c>
      <c r="C60" s="2" t="s">
        <v>62</v>
      </c>
      <c r="D60" s="2"/>
      <c r="E60" s="3" t="s">
        <v>63</v>
      </c>
      <c r="F60" s="9">
        <v>700000</v>
      </c>
      <c r="G60" s="9">
        <v>640000</v>
      </c>
      <c r="H60" s="9">
        <v>720000</v>
      </c>
      <c r="I60" s="9">
        <v>645000</v>
      </c>
      <c r="J60" t="str">
        <f t="shared" si="0"/>
        <v>BREBES</v>
      </c>
    </row>
    <row r="61" spans="1:10" x14ac:dyDescent="0.35">
      <c r="A61" s="2" t="s">
        <v>87</v>
      </c>
      <c r="B61" s="2" t="s">
        <v>35</v>
      </c>
      <c r="C61" s="2" t="s">
        <v>62</v>
      </c>
      <c r="D61" s="2"/>
      <c r="E61" s="3" t="s">
        <v>64</v>
      </c>
      <c r="F61" s="9">
        <v>700000</v>
      </c>
      <c r="G61" s="9">
        <v>640000</v>
      </c>
      <c r="H61" s="9">
        <v>720000</v>
      </c>
      <c r="I61" s="9">
        <v>645000</v>
      </c>
      <c r="J61" t="str">
        <f t="shared" si="0"/>
        <v>TEGAL</v>
      </c>
    </row>
    <row r="62" spans="1:10" x14ac:dyDescent="0.35">
      <c r="A62" s="2" t="s">
        <v>87</v>
      </c>
      <c r="B62" s="2" t="s">
        <v>35</v>
      </c>
      <c r="C62" s="2" t="s">
        <v>62</v>
      </c>
      <c r="D62" s="2"/>
      <c r="E62" s="3" t="s">
        <v>62</v>
      </c>
      <c r="F62" s="9">
        <v>700000</v>
      </c>
      <c r="G62" s="9">
        <v>640000</v>
      </c>
      <c r="H62" s="9">
        <v>720000</v>
      </c>
      <c r="I62" s="9">
        <v>645000</v>
      </c>
      <c r="J62" t="str">
        <f t="shared" si="0"/>
        <v>PEKALONGAN</v>
      </c>
    </row>
    <row r="63" spans="1:10" x14ac:dyDescent="0.35">
      <c r="A63" s="2" t="s">
        <v>87</v>
      </c>
      <c r="B63" s="2" t="s">
        <v>35</v>
      </c>
      <c r="C63" s="2" t="s">
        <v>62</v>
      </c>
      <c r="D63" s="2"/>
      <c r="E63" s="3" t="s">
        <v>65</v>
      </c>
      <c r="F63" s="9">
        <v>700000</v>
      </c>
      <c r="G63" s="9">
        <v>640000</v>
      </c>
      <c r="H63" s="9">
        <v>720000</v>
      </c>
      <c r="I63" s="9">
        <v>645000</v>
      </c>
      <c r="J63" t="str">
        <f t="shared" si="0"/>
        <v>PEMALANG</v>
      </c>
    </row>
    <row r="64" spans="1:10" x14ac:dyDescent="0.35">
      <c r="A64" s="2" t="s">
        <v>87</v>
      </c>
      <c r="B64" s="2" t="s">
        <v>35</v>
      </c>
      <c r="C64" s="2" t="s">
        <v>66</v>
      </c>
      <c r="D64" s="2"/>
      <c r="E64" s="3" t="s">
        <v>67</v>
      </c>
      <c r="F64" s="9">
        <v>720000</v>
      </c>
      <c r="G64" s="9">
        <v>680000</v>
      </c>
      <c r="H64" s="9">
        <v>740000</v>
      </c>
      <c r="I64" s="9">
        <v>685000</v>
      </c>
      <c r="J64" t="str">
        <f t="shared" si="0"/>
        <v>BOYOLALI</v>
      </c>
    </row>
    <row r="65" spans="1:10" x14ac:dyDescent="0.35">
      <c r="A65" s="2" t="s">
        <v>87</v>
      </c>
      <c r="B65" s="2" t="s">
        <v>35</v>
      </c>
      <c r="C65" s="2" t="s">
        <v>66</v>
      </c>
      <c r="D65" s="2"/>
      <c r="E65" s="3" t="s">
        <v>68</v>
      </c>
      <c r="F65" s="9">
        <v>730000</v>
      </c>
      <c r="G65" s="9">
        <v>690000</v>
      </c>
      <c r="H65" s="9">
        <v>750000</v>
      </c>
      <c r="I65" s="9">
        <v>695000</v>
      </c>
      <c r="J65" t="str">
        <f t="shared" si="0"/>
        <v>KARANGANYAR</v>
      </c>
    </row>
    <row r="66" spans="1:10" x14ac:dyDescent="0.35">
      <c r="A66" s="2" t="s">
        <v>87</v>
      </c>
      <c r="B66" s="2" t="s">
        <v>35</v>
      </c>
      <c r="C66" s="2" t="s">
        <v>66</v>
      </c>
      <c r="D66" s="2"/>
      <c r="E66" s="3" t="s">
        <v>69</v>
      </c>
      <c r="F66" s="9">
        <v>730000</v>
      </c>
      <c r="G66" s="9">
        <v>690000</v>
      </c>
      <c r="H66" s="9">
        <v>750000</v>
      </c>
      <c r="I66" s="9">
        <v>695000</v>
      </c>
      <c r="J66" t="str">
        <f t="shared" si="0"/>
        <v>KLATEN</v>
      </c>
    </row>
    <row r="67" spans="1:10" x14ac:dyDescent="0.35">
      <c r="A67" s="2" t="s">
        <v>87</v>
      </c>
      <c r="B67" s="2" t="s">
        <v>35</v>
      </c>
      <c r="C67" s="2" t="s">
        <v>66</v>
      </c>
      <c r="D67" s="2"/>
      <c r="E67" s="3" t="s">
        <v>70</v>
      </c>
      <c r="F67" s="9">
        <v>730000</v>
      </c>
      <c r="G67" s="9">
        <v>690000</v>
      </c>
      <c r="H67" s="9">
        <v>750000</v>
      </c>
      <c r="I67" s="9">
        <v>695000</v>
      </c>
      <c r="J67" t="str">
        <f t="shared" si="0"/>
        <v>SURAKARTA</v>
      </c>
    </row>
    <row r="68" spans="1:10" x14ac:dyDescent="0.35">
      <c r="A68" s="2" t="s">
        <v>87</v>
      </c>
      <c r="B68" s="2" t="s">
        <v>35</v>
      </c>
      <c r="C68" s="2" t="s">
        <v>66</v>
      </c>
      <c r="D68" s="2"/>
      <c r="E68" s="3" t="s">
        <v>71</v>
      </c>
      <c r="F68" s="9">
        <v>720000</v>
      </c>
      <c r="G68" s="9">
        <v>680000</v>
      </c>
      <c r="H68" s="9">
        <v>740000</v>
      </c>
      <c r="I68" s="9">
        <v>685000</v>
      </c>
      <c r="J68" t="str">
        <f t="shared" ref="J68:J131" si="1">E68</f>
        <v>SRAGEN</v>
      </c>
    </row>
    <row r="69" spans="1:10" x14ac:dyDescent="0.35">
      <c r="A69" s="2" t="s">
        <v>87</v>
      </c>
      <c r="B69" s="2" t="s">
        <v>35</v>
      </c>
      <c r="C69" s="2" t="s">
        <v>66</v>
      </c>
      <c r="D69" s="2"/>
      <c r="E69" s="3" t="s">
        <v>72</v>
      </c>
      <c r="F69" s="9">
        <v>730000</v>
      </c>
      <c r="G69" s="9">
        <v>690000</v>
      </c>
      <c r="H69" s="9">
        <v>750000</v>
      </c>
      <c r="I69" s="9">
        <v>695000</v>
      </c>
      <c r="J69" t="str">
        <f t="shared" si="1"/>
        <v>SUKOHARJO</v>
      </c>
    </row>
    <row r="70" spans="1:10" x14ac:dyDescent="0.35">
      <c r="A70" s="2" t="s">
        <v>87</v>
      </c>
      <c r="B70" s="2" t="s">
        <v>35</v>
      </c>
      <c r="C70" s="2" t="s">
        <v>66</v>
      </c>
      <c r="D70" s="2"/>
      <c r="E70" s="3" t="s">
        <v>73</v>
      </c>
      <c r="F70" s="9">
        <v>730000</v>
      </c>
      <c r="G70" s="9">
        <v>690000</v>
      </c>
      <c r="H70" s="9">
        <v>750000</v>
      </c>
      <c r="I70" s="9">
        <v>695000</v>
      </c>
      <c r="J70" t="str">
        <f t="shared" si="1"/>
        <v>WONOGIRI</v>
      </c>
    </row>
    <row r="71" spans="1:10" x14ac:dyDescent="0.35">
      <c r="A71" s="2" t="s">
        <v>87</v>
      </c>
      <c r="B71" s="2" t="s">
        <v>74</v>
      </c>
      <c r="C71" s="2" t="s">
        <v>74</v>
      </c>
      <c r="D71" s="2"/>
      <c r="E71" s="3" t="s">
        <v>75</v>
      </c>
      <c r="F71" s="9">
        <v>0</v>
      </c>
      <c r="G71" s="9">
        <v>620000</v>
      </c>
      <c r="H71" s="9">
        <v>0</v>
      </c>
      <c r="I71" s="9">
        <v>625000</v>
      </c>
      <c r="J71" t="str">
        <f t="shared" si="1"/>
        <v>BANJAR</v>
      </c>
    </row>
    <row r="72" spans="1:10" x14ac:dyDescent="0.35">
      <c r="A72" s="2" t="s">
        <v>87</v>
      </c>
      <c r="B72" s="2" t="s">
        <v>74</v>
      </c>
      <c r="C72" s="2" t="s">
        <v>74</v>
      </c>
      <c r="D72" s="2"/>
      <c r="E72" s="3" t="s">
        <v>76</v>
      </c>
      <c r="F72" s="9">
        <v>0</v>
      </c>
      <c r="G72" s="9">
        <v>620000</v>
      </c>
      <c r="H72" s="9">
        <v>0</v>
      </c>
      <c r="I72" s="9">
        <v>625000</v>
      </c>
      <c r="J72" t="str">
        <f t="shared" si="1"/>
        <v>CIAMIS</v>
      </c>
    </row>
    <row r="73" spans="1:10" x14ac:dyDescent="0.35">
      <c r="A73" s="2" t="s">
        <v>87</v>
      </c>
      <c r="B73" s="2" t="s">
        <v>74</v>
      </c>
      <c r="C73" s="2" t="s">
        <v>74</v>
      </c>
      <c r="D73" s="2"/>
      <c r="E73" s="3" t="s">
        <v>77</v>
      </c>
      <c r="F73" s="9">
        <v>0</v>
      </c>
      <c r="G73" s="9">
        <v>620000</v>
      </c>
      <c r="H73" s="9">
        <v>0</v>
      </c>
      <c r="I73" s="9">
        <v>625000</v>
      </c>
      <c r="J73" t="str">
        <f t="shared" si="1"/>
        <v>PANGANDARAN</v>
      </c>
    </row>
    <row r="74" spans="1:10" x14ac:dyDescent="0.35">
      <c r="A74" s="2" t="s">
        <v>87</v>
      </c>
      <c r="B74" s="2" t="s">
        <v>74</v>
      </c>
      <c r="C74" s="2" t="s">
        <v>74</v>
      </c>
      <c r="D74" s="2"/>
      <c r="E74" s="3" t="s">
        <v>78</v>
      </c>
      <c r="F74" s="9">
        <v>0</v>
      </c>
      <c r="G74" s="9">
        <v>625000</v>
      </c>
      <c r="H74" s="9">
        <v>0</v>
      </c>
      <c r="I74" s="9">
        <v>630000</v>
      </c>
      <c r="J74" t="str">
        <f t="shared" si="1"/>
        <v>TASIKMALAYA</v>
      </c>
    </row>
    <row r="75" spans="1:10" x14ac:dyDescent="0.35">
      <c r="A75" s="2" t="s">
        <v>87</v>
      </c>
      <c r="B75" s="2" t="s">
        <v>79</v>
      </c>
      <c r="C75" s="2" t="s">
        <v>79</v>
      </c>
      <c r="D75" s="2"/>
      <c r="E75" s="3" t="s">
        <v>79</v>
      </c>
      <c r="F75" s="9">
        <v>0</v>
      </c>
      <c r="G75" s="9">
        <v>790000</v>
      </c>
      <c r="H75" s="9">
        <v>0</v>
      </c>
      <c r="I75" s="9">
        <v>795000</v>
      </c>
      <c r="J75" t="str">
        <f t="shared" si="1"/>
        <v>BALI</v>
      </c>
    </row>
    <row r="76" spans="1:10" x14ac:dyDescent="0.35">
      <c r="A76" s="2" t="s">
        <v>88</v>
      </c>
      <c r="B76" s="2" t="s">
        <v>3</v>
      </c>
      <c r="C76" s="2" t="s">
        <v>4</v>
      </c>
      <c r="D76" s="2"/>
      <c r="E76" s="3" t="s">
        <v>4</v>
      </c>
      <c r="F76" s="9">
        <v>695000</v>
      </c>
      <c r="G76" s="9">
        <v>650000</v>
      </c>
      <c r="H76" s="9">
        <v>715000</v>
      </c>
      <c r="I76" s="9">
        <v>655000</v>
      </c>
      <c r="J76" t="str">
        <f t="shared" si="1"/>
        <v>SURABAYA</v>
      </c>
    </row>
    <row r="77" spans="1:10" x14ac:dyDescent="0.35">
      <c r="A77" s="2" t="s">
        <v>88</v>
      </c>
      <c r="B77" s="2" t="s">
        <v>3</v>
      </c>
      <c r="C77" s="2" t="s">
        <v>4</v>
      </c>
      <c r="D77" s="2"/>
      <c r="E77" s="3" t="s">
        <v>5</v>
      </c>
      <c r="F77" s="9">
        <v>695000</v>
      </c>
      <c r="G77" s="9">
        <v>650000</v>
      </c>
      <c r="H77" s="9">
        <v>715000</v>
      </c>
      <c r="I77" s="9">
        <v>655000</v>
      </c>
      <c r="J77" t="str">
        <f t="shared" si="1"/>
        <v>GRESIK</v>
      </c>
    </row>
    <row r="78" spans="1:10" x14ac:dyDescent="0.35">
      <c r="A78" s="2" t="s">
        <v>88</v>
      </c>
      <c r="B78" s="2" t="s">
        <v>3</v>
      </c>
      <c r="C78" s="2" t="s">
        <v>4</v>
      </c>
      <c r="D78" s="2"/>
      <c r="E78" s="3" t="s">
        <v>6</v>
      </c>
      <c r="F78" s="9">
        <v>695000</v>
      </c>
      <c r="G78" s="9">
        <v>650000</v>
      </c>
      <c r="H78" s="9">
        <v>715000</v>
      </c>
      <c r="I78" s="9">
        <v>655000</v>
      </c>
      <c r="J78" t="str">
        <f t="shared" si="1"/>
        <v>SIDOARJO</v>
      </c>
    </row>
    <row r="79" spans="1:10" x14ac:dyDescent="0.35">
      <c r="A79" s="2" t="s">
        <v>88</v>
      </c>
      <c r="B79" s="2" t="s">
        <v>3</v>
      </c>
      <c r="C79" s="2" t="s">
        <v>7</v>
      </c>
      <c r="D79" s="2"/>
      <c r="E79" s="3" t="s">
        <v>7</v>
      </c>
      <c r="F79" s="9">
        <v>840000</v>
      </c>
      <c r="G79" s="9">
        <v>740000</v>
      </c>
      <c r="H79" s="9">
        <v>860000</v>
      </c>
      <c r="I79" s="9">
        <v>745000</v>
      </c>
      <c r="J79" t="str">
        <f t="shared" si="1"/>
        <v>BANYUWANGI</v>
      </c>
    </row>
    <row r="80" spans="1:10" x14ac:dyDescent="0.35">
      <c r="A80" s="2" t="s">
        <v>88</v>
      </c>
      <c r="B80" s="2" t="s">
        <v>3</v>
      </c>
      <c r="C80" s="2" t="s">
        <v>8</v>
      </c>
      <c r="D80" s="2"/>
      <c r="E80" s="2" t="s">
        <v>9</v>
      </c>
      <c r="F80" s="9">
        <v>745000</v>
      </c>
      <c r="G80" s="9">
        <v>715000</v>
      </c>
      <c r="H80" s="9">
        <v>765000</v>
      </c>
      <c r="I80" s="9">
        <v>720000</v>
      </c>
      <c r="J80" t="str">
        <f t="shared" si="1"/>
        <v>BONDOWOSO</v>
      </c>
    </row>
    <row r="81" spans="1:10" x14ac:dyDescent="0.35">
      <c r="A81" s="2" t="s">
        <v>88</v>
      </c>
      <c r="B81" s="2" t="s">
        <v>3</v>
      </c>
      <c r="C81" s="2" t="s">
        <v>8</v>
      </c>
      <c r="D81" s="2"/>
      <c r="E81" s="2" t="s">
        <v>8</v>
      </c>
      <c r="F81" s="9">
        <v>745000</v>
      </c>
      <c r="G81" s="9">
        <v>705000</v>
      </c>
      <c r="H81" s="9">
        <v>765000</v>
      </c>
      <c r="I81" s="9">
        <v>710000</v>
      </c>
      <c r="J81" t="str">
        <f t="shared" si="1"/>
        <v>JEMBER</v>
      </c>
    </row>
    <row r="82" spans="1:10" x14ac:dyDescent="0.35">
      <c r="A82" s="2" t="s">
        <v>88</v>
      </c>
      <c r="B82" s="2" t="s">
        <v>3</v>
      </c>
      <c r="C82" s="2" t="s">
        <v>8</v>
      </c>
      <c r="D82" s="2"/>
      <c r="E82" s="2" t="s">
        <v>10</v>
      </c>
      <c r="F82" s="9">
        <v>745000</v>
      </c>
      <c r="G82" s="9">
        <v>715000</v>
      </c>
      <c r="H82" s="9">
        <v>765000</v>
      </c>
      <c r="I82" s="9">
        <v>720000</v>
      </c>
      <c r="J82" t="str">
        <f t="shared" si="1"/>
        <v>SITUBONDO</v>
      </c>
    </row>
    <row r="83" spans="1:10" x14ac:dyDescent="0.35">
      <c r="A83" s="2" t="s">
        <v>88</v>
      </c>
      <c r="B83" s="2" t="s">
        <v>3</v>
      </c>
      <c r="C83" s="2" t="s">
        <v>11</v>
      </c>
      <c r="D83" s="2"/>
      <c r="E83" s="2" t="s">
        <v>11</v>
      </c>
      <c r="F83" s="9">
        <v>670000</v>
      </c>
      <c r="G83" s="9">
        <v>635000</v>
      </c>
      <c r="H83" s="9">
        <v>690000</v>
      </c>
      <c r="I83" s="9">
        <v>640000</v>
      </c>
      <c r="J83" t="str">
        <f t="shared" si="1"/>
        <v>LAMONGAN</v>
      </c>
    </row>
    <row r="84" spans="1:10" x14ac:dyDescent="0.35">
      <c r="A84" s="2" t="s">
        <v>88</v>
      </c>
      <c r="B84" s="2" t="s">
        <v>3</v>
      </c>
      <c r="C84" s="2" t="s">
        <v>12</v>
      </c>
      <c r="D84" s="2"/>
      <c r="E84" s="2" t="s">
        <v>12</v>
      </c>
      <c r="F84" s="9">
        <v>650000</v>
      </c>
      <c r="G84" s="9">
        <v>610000</v>
      </c>
      <c r="H84" s="9">
        <v>670000</v>
      </c>
      <c r="I84" s="9">
        <v>615000</v>
      </c>
      <c r="J84" t="str">
        <f t="shared" si="1"/>
        <v>PASURUAN</v>
      </c>
    </row>
    <row r="85" spans="1:10" x14ac:dyDescent="0.35">
      <c r="A85" s="2" t="s">
        <v>88</v>
      </c>
      <c r="B85" s="2" t="s">
        <v>3</v>
      </c>
      <c r="C85" s="2" t="s">
        <v>13</v>
      </c>
      <c r="D85" s="2"/>
      <c r="E85" s="2" t="s">
        <v>14</v>
      </c>
      <c r="F85" s="9">
        <v>720000</v>
      </c>
      <c r="G85" s="9">
        <v>670000</v>
      </c>
      <c r="H85" s="9">
        <v>740000</v>
      </c>
      <c r="I85" s="9">
        <v>675000</v>
      </c>
      <c r="J85" t="str">
        <f t="shared" si="1"/>
        <v>BANGKALAN</v>
      </c>
    </row>
    <row r="86" spans="1:10" x14ac:dyDescent="0.35">
      <c r="A86" s="2" t="s">
        <v>88</v>
      </c>
      <c r="B86" s="2" t="s">
        <v>3</v>
      </c>
      <c r="C86" s="2" t="s">
        <v>13</v>
      </c>
      <c r="D86" s="2"/>
      <c r="E86" s="2" t="s">
        <v>15</v>
      </c>
      <c r="F86" s="9">
        <v>740000</v>
      </c>
      <c r="G86" s="9">
        <v>690000</v>
      </c>
      <c r="H86" s="9">
        <v>760000</v>
      </c>
      <c r="I86" s="9">
        <v>695000</v>
      </c>
      <c r="J86" t="str">
        <f t="shared" si="1"/>
        <v>SAMPANG</v>
      </c>
    </row>
    <row r="87" spans="1:10" x14ac:dyDescent="0.35">
      <c r="A87" s="2" t="s">
        <v>88</v>
      </c>
      <c r="B87" s="2" t="s">
        <v>3</v>
      </c>
      <c r="C87" s="2" t="s">
        <v>13</v>
      </c>
      <c r="D87" s="2"/>
      <c r="E87" s="2" t="s">
        <v>16</v>
      </c>
      <c r="F87" s="9">
        <v>750000</v>
      </c>
      <c r="G87" s="9">
        <v>700000</v>
      </c>
      <c r="H87" s="9">
        <v>770000</v>
      </c>
      <c r="I87" s="9">
        <v>705000</v>
      </c>
      <c r="J87" t="str">
        <f t="shared" si="1"/>
        <v>PAMEKASAN</v>
      </c>
    </row>
    <row r="88" spans="1:10" x14ac:dyDescent="0.35">
      <c r="A88" s="2" t="s">
        <v>88</v>
      </c>
      <c r="B88" s="2" t="s">
        <v>3</v>
      </c>
      <c r="C88" s="2" t="s">
        <v>13</v>
      </c>
      <c r="D88" s="2"/>
      <c r="E88" s="2" t="s">
        <v>17</v>
      </c>
      <c r="F88" s="9">
        <v>770000</v>
      </c>
      <c r="G88" s="9">
        <v>710000</v>
      </c>
      <c r="H88" s="9">
        <v>790000</v>
      </c>
      <c r="I88" s="9">
        <v>715000</v>
      </c>
      <c r="J88" t="str">
        <f t="shared" si="1"/>
        <v>SUMENEP</v>
      </c>
    </row>
    <row r="89" spans="1:10" x14ac:dyDescent="0.35">
      <c r="A89" s="2" t="s">
        <v>88</v>
      </c>
      <c r="B89" s="2" t="s">
        <v>3</v>
      </c>
      <c r="C89" s="2" t="s">
        <v>18</v>
      </c>
      <c r="D89" s="2"/>
      <c r="E89" s="2" t="s">
        <v>19</v>
      </c>
      <c r="F89" s="9">
        <v>710000</v>
      </c>
      <c r="G89" s="9">
        <v>670000</v>
      </c>
      <c r="H89" s="9">
        <v>730000</v>
      </c>
      <c r="I89" s="9">
        <v>675000</v>
      </c>
      <c r="J89" t="str">
        <f t="shared" si="1"/>
        <v>LUMAJANG</v>
      </c>
    </row>
    <row r="90" spans="1:10" x14ac:dyDescent="0.35">
      <c r="A90" s="2" t="s">
        <v>88</v>
      </c>
      <c r="B90" s="2" t="s">
        <v>3</v>
      </c>
      <c r="C90" s="2" t="s">
        <v>18</v>
      </c>
      <c r="D90" s="2"/>
      <c r="E90" s="2" t="s">
        <v>18</v>
      </c>
      <c r="F90" s="9">
        <v>705000</v>
      </c>
      <c r="G90" s="9">
        <v>670000</v>
      </c>
      <c r="H90" s="9">
        <v>725000</v>
      </c>
      <c r="I90" s="9">
        <v>675000</v>
      </c>
      <c r="J90" t="str">
        <f t="shared" si="1"/>
        <v>PROBOLINGGO</v>
      </c>
    </row>
    <row r="91" spans="1:10" x14ac:dyDescent="0.35">
      <c r="A91" s="2" t="s">
        <v>88</v>
      </c>
      <c r="B91" s="2" t="s">
        <v>3</v>
      </c>
      <c r="C91" s="2" t="s">
        <v>20</v>
      </c>
      <c r="D91" s="2"/>
      <c r="E91" s="2" t="s">
        <v>20</v>
      </c>
      <c r="F91" s="9">
        <v>690000</v>
      </c>
      <c r="G91" s="9">
        <v>655000</v>
      </c>
      <c r="H91" s="9">
        <v>710000</v>
      </c>
      <c r="I91" s="9">
        <v>660000</v>
      </c>
      <c r="J91" t="str">
        <f t="shared" si="1"/>
        <v>BOJONEGORO</v>
      </c>
    </row>
    <row r="92" spans="1:10" x14ac:dyDescent="0.35">
      <c r="A92" s="2" t="s">
        <v>88</v>
      </c>
      <c r="B92" s="2" t="s">
        <v>3</v>
      </c>
      <c r="C92" s="2" t="s">
        <v>20</v>
      </c>
      <c r="D92" s="2"/>
      <c r="E92" s="2" t="s">
        <v>21</v>
      </c>
      <c r="F92" s="9">
        <v>690000</v>
      </c>
      <c r="G92" s="9">
        <v>655000</v>
      </c>
      <c r="H92" s="9">
        <v>710000</v>
      </c>
      <c r="I92" s="9">
        <v>660000</v>
      </c>
      <c r="J92" t="str">
        <f t="shared" si="1"/>
        <v>TUBAN</v>
      </c>
    </row>
    <row r="93" spans="1:10" x14ac:dyDescent="0.35">
      <c r="A93" s="2" t="s">
        <v>88</v>
      </c>
      <c r="B93" s="2" t="s">
        <v>3</v>
      </c>
      <c r="C93" s="2" t="s">
        <v>22</v>
      </c>
      <c r="D93" s="2"/>
      <c r="E93" s="2" t="s">
        <v>23</v>
      </c>
      <c r="F93" s="9">
        <v>700000</v>
      </c>
      <c r="G93" s="9">
        <v>665000</v>
      </c>
      <c r="H93" s="9">
        <v>720000</v>
      </c>
      <c r="I93" s="9">
        <v>670000</v>
      </c>
      <c r="J93" t="str">
        <f t="shared" si="1"/>
        <v>JOMBANG</v>
      </c>
    </row>
    <row r="94" spans="1:10" x14ac:dyDescent="0.35">
      <c r="A94" s="2" t="s">
        <v>88</v>
      </c>
      <c r="B94" s="2" t="s">
        <v>3</v>
      </c>
      <c r="C94" s="2" t="s">
        <v>22</v>
      </c>
      <c r="D94" s="2"/>
      <c r="E94" s="2" t="s">
        <v>22</v>
      </c>
      <c r="F94" s="9">
        <v>690000</v>
      </c>
      <c r="G94" s="9">
        <v>655000</v>
      </c>
      <c r="H94" s="9">
        <v>710000</v>
      </c>
      <c r="I94" s="9">
        <v>660000</v>
      </c>
      <c r="J94" t="str">
        <f t="shared" si="1"/>
        <v>MOJOKERTO</v>
      </c>
    </row>
    <row r="95" spans="1:10" x14ac:dyDescent="0.35">
      <c r="A95" s="2" t="s">
        <v>88</v>
      </c>
      <c r="B95" s="2" t="s">
        <v>3</v>
      </c>
      <c r="C95" s="2" t="s">
        <v>24</v>
      </c>
      <c r="D95" s="2"/>
      <c r="E95" s="2" t="s">
        <v>24</v>
      </c>
      <c r="F95" s="9">
        <v>690000</v>
      </c>
      <c r="G95" s="9">
        <v>645000</v>
      </c>
      <c r="H95" s="9">
        <v>710000</v>
      </c>
      <c r="I95" s="9">
        <v>650000</v>
      </c>
      <c r="J95" t="str">
        <f t="shared" si="1"/>
        <v>KEDIRI</v>
      </c>
    </row>
    <row r="96" spans="1:10" x14ac:dyDescent="0.35">
      <c r="A96" s="2" t="s">
        <v>88</v>
      </c>
      <c r="B96" s="2" t="s">
        <v>3</v>
      </c>
      <c r="C96" s="2" t="s">
        <v>24</v>
      </c>
      <c r="D96" s="2"/>
      <c r="E96" s="2" t="s">
        <v>25</v>
      </c>
      <c r="F96" s="9">
        <v>690000</v>
      </c>
      <c r="G96" s="9">
        <v>645000</v>
      </c>
      <c r="H96" s="9">
        <v>710000</v>
      </c>
      <c r="I96" s="9">
        <v>650000</v>
      </c>
      <c r="J96" t="str">
        <f t="shared" si="1"/>
        <v>NGANJUK</v>
      </c>
    </row>
    <row r="97" spans="1:10" x14ac:dyDescent="0.35">
      <c r="A97" s="2" t="s">
        <v>88</v>
      </c>
      <c r="B97" s="2" t="s">
        <v>3</v>
      </c>
      <c r="C97" s="2" t="s">
        <v>24</v>
      </c>
      <c r="D97" s="2"/>
      <c r="E97" s="2" t="s">
        <v>26</v>
      </c>
      <c r="F97" s="9">
        <v>720000</v>
      </c>
      <c r="G97" s="9">
        <v>655000</v>
      </c>
      <c r="H97" s="9">
        <v>740000</v>
      </c>
      <c r="I97" s="9">
        <v>660000</v>
      </c>
      <c r="J97" t="str">
        <f t="shared" si="1"/>
        <v>BLITAR</v>
      </c>
    </row>
    <row r="98" spans="1:10" x14ac:dyDescent="0.35">
      <c r="A98" s="2" t="s">
        <v>88</v>
      </c>
      <c r="B98" s="2" t="s">
        <v>3</v>
      </c>
      <c r="C98" s="2" t="s">
        <v>24</v>
      </c>
      <c r="D98" s="2"/>
      <c r="E98" s="2" t="s">
        <v>27</v>
      </c>
      <c r="F98" s="9">
        <v>720000</v>
      </c>
      <c r="G98" s="9">
        <v>655000</v>
      </c>
      <c r="H98" s="9">
        <v>740000</v>
      </c>
      <c r="I98" s="9">
        <v>660000</v>
      </c>
      <c r="J98" t="str">
        <f t="shared" si="1"/>
        <v>TULUNGAGUNG</v>
      </c>
    </row>
    <row r="99" spans="1:10" x14ac:dyDescent="0.35">
      <c r="A99" s="2" t="s">
        <v>88</v>
      </c>
      <c r="B99" s="2" t="s">
        <v>3</v>
      </c>
      <c r="C99" s="2" t="s">
        <v>24</v>
      </c>
      <c r="D99" s="2"/>
      <c r="E99" s="2" t="s">
        <v>28</v>
      </c>
      <c r="F99" s="9">
        <v>720000</v>
      </c>
      <c r="G99" s="9">
        <v>655000</v>
      </c>
      <c r="H99" s="9">
        <v>740000</v>
      </c>
      <c r="I99" s="9">
        <v>660000</v>
      </c>
      <c r="J99" t="str">
        <f t="shared" si="1"/>
        <v>TRENGGALEK</v>
      </c>
    </row>
    <row r="100" spans="1:10" x14ac:dyDescent="0.35">
      <c r="A100" s="2" t="s">
        <v>88</v>
      </c>
      <c r="B100" s="2" t="s">
        <v>3</v>
      </c>
      <c r="C100" s="2" t="s">
        <v>29</v>
      </c>
      <c r="D100" s="2"/>
      <c r="E100" s="2" t="s">
        <v>29</v>
      </c>
      <c r="F100" s="9">
        <v>710000</v>
      </c>
      <c r="G100" s="9">
        <v>675000</v>
      </c>
      <c r="H100" s="9">
        <v>730000</v>
      </c>
      <c r="I100" s="9">
        <v>680000</v>
      </c>
      <c r="J100" t="str">
        <f t="shared" si="1"/>
        <v>MADIUN</v>
      </c>
    </row>
    <row r="101" spans="1:10" x14ac:dyDescent="0.35">
      <c r="A101" s="2" t="s">
        <v>88</v>
      </c>
      <c r="B101" s="2" t="s">
        <v>3</v>
      </c>
      <c r="C101" s="2" t="s">
        <v>29</v>
      </c>
      <c r="D101" s="2"/>
      <c r="E101" s="2" t="s">
        <v>30</v>
      </c>
      <c r="F101" s="9">
        <v>710000</v>
      </c>
      <c r="G101" s="9">
        <v>675000</v>
      </c>
      <c r="H101" s="9">
        <v>730000</v>
      </c>
      <c r="I101" s="9">
        <v>680000</v>
      </c>
      <c r="J101" t="str">
        <f t="shared" si="1"/>
        <v>MAGETAN</v>
      </c>
    </row>
    <row r="102" spans="1:10" x14ac:dyDescent="0.35">
      <c r="A102" s="2" t="s">
        <v>88</v>
      </c>
      <c r="B102" s="2" t="s">
        <v>3</v>
      </c>
      <c r="C102" s="2" t="s">
        <v>29</v>
      </c>
      <c r="D102" s="2"/>
      <c r="E102" s="2" t="s">
        <v>31</v>
      </c>
      <c r="F102" s="9">
        <v>705000</v>
      </c>
      <c r="G102" s="9">
        <v>675000</v>
      </c>
      <c r="H102" s="9">
        <v>725000</v>
      </c>
      <c r="I102" s="9">
        <v>680000</v>
      </c>
      <c r="J102" t="str">
        <f t="shared" si="1"/>
        <v>NGAWI</v>
      </c>
    </row>
    <row r="103" spans="1:10" x14ac:dyDescent="0.35">
      <c r="A103" s="2" t="s">
        <v>88</v>
      </c>
      <c r="B103" s="2" t="s">
        <v>3</v>
      </c>
      <c r="C103" s="2" t="s">
        <v>29</v>
      </c>
      <c r="D103" s="2"/>
      <c r="E103" s="2" t="s">
        <v>32</v>
      </c>
      <c r="F103" s="9">
        <v>715000</v>
      </c>
      <c r="G103" s="9">
        <v>675000</v>
      </c>
      <c r="H103" s="9">
        <v>735000</v>
      </c>
      <c r="I103" s="9">
        <v>680000</v>
      </c>
      <c r="J103" t="str">
        <f t="shared" si="1"/>
        <v>PONOROGO</v>
      </c>
    </row>
    <row r="104" spans="1:10" x14ac:dyDescent="0.35">
      <c r="A104" s="2" t="s">
        <v>88</v>
      </c>
      <c r="B104" s="2" t="s">
        <v>3</v>
      </c>
      <c r="C104" s="2" t="s">
        <v>29</v>
      </c>
      <c r="D104" s="2"/>
      <c r="E104" s="2" t="s">
        <v>33</v>
      </c>
      <c r="F104" s="9">
        <v>730000</v>
      </c>
      <c r="G104" s="9">
        <v>695000</v>
      </c>
      <c r="H104" s="9">
        <v>750000</v>
      </c>
      <c r="I104" s="9">
        <v>700000</v>
      </c>
      <c r="J104" t="str">
        <f t="shared" si="1"/>
        <v>PACITAN</v>
      </c>
    </row>
    <row r="105" spans="1:10" x14ac:dyDescent="0.35">
      <c r="A105" s="2" t="s">
        <v>88</v>
      </c>
      <c r="B105" s="2" t="s">
        <v>3</v>
      </c>
      <c r="C105" s="2" t="s">
        <v>34</v>
      </c>
      <c r="D105" s="2"/>
      <c r="E105" s="2" t="s">
        <v>92</v>
      </c>
      <c r="F105" s="9">
        <v>715000</v>
      </c>
      <c r="G105" s="9">
        <v>670000</v>
      </c>
      <c r="H105" s="9">
        <v>735000</v>
      </c>
      <c r="I105" s="9">
        <v>675000</v>
      </c>
      <c r="J105" t="str">
        <f t="shared" si="1"/>
        <v>MALANG 1</v>
      </c>
    </row>
    <row r="106" spans="1:10" x14ac:dyDescent="0.35">
      <c r="A106" s="2" t="s">
        <v>88</v>
      </c>
      <c r="B106" s="2" t="s">
        <v>3</v>
      </c>
      <c r="C106" s="2" t="s">
        <v>34</v>
      </c>
      <c r="D106" s="2" t="s">
        <v>90</v>
      </c>
      <c r="E106" s="2" t="s">
        <v>93</v>
      </c>
      <c r="F106" s="9">
        <v>715000</v>
      </c>
      <c r="G106" s="9">
        <v>665000</v>
      </c>
      <c r="H106" s="9">
        <v>735000</v>
      </c>
      <c r="I106" s="9">
        <v>670000</v>
      </c>
      <c r="J106" t="str">
        <f t="shared" si="1"/>
        <v>MALANG 2</v>
      </c>
    </row>
    <row r="107" spans="1:10" x14ac:dyDescent="0.35">
      <c r="A107" s="2" t="s">
        <v>88</v>
      </c>
      <c r="B107" s="2" t="s">
        <v>3</v>
      </c>
      <c r="C107" s="2" t="s">
        <v>34</v>
      </c>
      <c r="D107" s="2" t="s">
        <v>91</v>
      </c>
      <c r="E107" s="2" t="s">
        <v>94</v>
      </c>
      <c r="F107" s="9">
        <v>725000</v>
      </c>
      <c r="G107" s="9">
        <v>670000</v>
      </c>
      <c r="H107" s="9">
        <v>745000</v>
      </c>
      <c r="I107" s="9">
        <v>675000</v>
      </c>
      <c r="J107" t="str">
        <f t="shared" si="1"/>
        <v>MALANG 3</v>
      </c>
    </row>
    <row r="108" spans="1:10" x14ac:dyDescent="0.35">
      <c r="A108" s="2" t="s">
        <v>88</v>
      </c>
      <c r="B108" s="2" t="s">
        <v>35</v>
      </c>
      <c r="C108" s="2" t="s">
        <v>36</v>
      </c>
      <c r="D108" s="2"/>
      <c r="E108" s="2" t="s">
        <v>37</v>
      </c>
      <c r="F108" s="9">
        <v>740000</v>
      </c>
      <c r="G108" s="9">
        <v>700000</v>
      </c>
      <c r="H108" s="9">
        <v>760000</v>
      </c>
      <c r="I108" s="9">
        <v>705000</v>
      </c>
      <c r="J108" t="str">
        <f t="shared" si="1"/>
        <v>BANTUL</v>
      </c>
    </row>
    <row r="109" spans="1:10" x14ac:dyDescent="0.35">
      <c r="A109" s="2" t="s">
        <v>88</v>
      </c>
      <c r="B109" s="2" t="s">
        <v>35</v>
      </c>
      <c r="C109" s="2" t="s">
        <v>36</v>
      </c>
      <c r="D109" s="2"/>
      <c r="E109" s="2" t="s">
        <v>38</v>
      </c>
      <c r="F109" s="9">
        <v>740000</v>
      </c>
      <c r="G109" s="9">
        <v>700000</v>
      </c>
      <c r="H109" s="9">
        <v>760000</v>
      </c>
      <c r="I109" s="9">
        <v>705000</v>
      </c>
      <c r="J109" t="str">
        <f t="shared" si="1"/>
        <v>GUNUNG KIDUL</v>
      </c>
    </row>
    <row r="110" spans="1:10" x14ac:dyDescent="0.35">
      <c r="A110" s="2" t="s">
        <v>88</v>
      </c>
      <c r="B110" s="2" t="s">
        <v>35</v>
      </c>
      <c r="C110" s="2" t="s">
        <v>36</v>
      </c>
      <c r="D110" s="2"/>
      <c r="E110" s="2" t="s">
        <v>39</v>
      </c>
      <c r="F110" s="9">
        <v>740000</v>
      </c>
      <c r="G110" s="9">
        <v>700000</v>
      </c>
      <c r="H110" s="9">
        <v>760000</v>
      </c>
      <c r="I110" s="9">
        <v>705000</v>
      </c>
      <c r="J110" t="str">
        <f t="shared" si="1"/>
        <v>KULON PROGO</v>
      </c>
    </row>
    <row r="111" spans="1:10" x14ac:dyDescent="0.35">
      <c r="A111" s="2" t="s">
        <v>88</v>
      </c>
      <c r="B111" s="2" t="s">
        <v>35</v>
      </c>
      <c r="C111" s="2" t="s">
        <v>36</v>
      </c>
      <c r="D111" s="2"/>
      <c r="E111" s="2" t="s">
        <v>40</v>
      </c>
      <c r="F111" s="9">
        <v>740000</v>
      </c>
      <c r="G111" s="9">
        <v>700000</v>
      </c>
      <c r="H111" s="9">
        <v>760000</v>
      </c>
      <c r="I111" s="9">
        <v>705000</v>
      </c>
      <c r="J111" t="str">
        <f t="shared" si="1"/>
        <v>SLEMAN</v>
      </c>
    </row>
    <row r="112" spans="1:10" x14ac:dyDescent="0.35">
      <c r="A112" s="2" t="s">
        <v>88</v>
      </c>
      <c r="B112" s="2" t="s">
        <v>35</v>
      </c>
      <c r="C112" s="2" t="s">
        <v>36</v>
      </c>
      <c r="D112" s="2"/>
      <c r="E112" s="2" t="s">
        <v>36</v>
      </c>
      <c r="F112" s="9">
        <v>740000</v>
      </c>
      <c r="G112" s="9">
        <v>700000</v>
      </c>
      <c r="H112" s="9">
        <v>760000</v>
      </c>
      <c r="I112" s="9">
        <v>705000</v>
      </c>
      <c r="J112" t="str">
        <f t="shared" si="1"/>
        <v>YOGYAKARTA</v>
      </c>
    </row>
    <row r="113" spans="1:10" x14ac:dyDescent="0.35">
      <c r="A113" s="2" t="s">
        <v>88</v>
      </c>
      <c r="B113" s="2" t="s">
        <v>35</v>
      </c>
      <c r="C113" s="2" t="s">
        <v>44</v>
      </c>
      <c r="D113" s="2"/>
      <c r="E113" s="2" t="s">
        <v>45</v>
      </c>
      <c r="F113" s="9">
        <v>780000</v>
      </c>
      <c r="G113" s="9">
        <v>710000</v>
      </c>
      <c r="H113" s="9">
        <v>800000</v>
      </c>
      <c r="I113" s="9">
        <v>715000</v>
      </c>
      <c r="J113" t="str">
        <f t="shared" si="1"/>
        <v>BANJARNEGARA</v>
      </c>
    </row>
    <row r="114" spans="1:10" x14ac:dyDescent="0.35">
      <c r="A114" s="2" t="s">
        <v>88</v>
      </c>
      <c r="B114" s="2" t="s">
        <v>35</v>
      </c>
      <c r="C114" s="2" t="s">
        <v>44</v>
      </c>
      <c r="D114" s="2"/>
      <c r="E114" s="2" t="s">
        <v>44</v>
      </c>
      <c r="F114" s="9">
        <v>790000</v>
      </c>
      <c r="G114" s="9">
        <v>675000</v>
      </c>
      <c r="H114" s="9">
        <v>810000</v>
      </c>
      <c r="I114" s="9">
        <v>680000</v>
      </c>
      <c r="J114" t="str">
        <f t="shared" si="1"/>
        <v>BANYUMAS</v>
      </c>
    </row>
    <row r="115" spans="1:10" x14ac:dyDescent="0.35">
      <c r="A115" s="2" t="s">
        <v>88</v>
      </c>
      <c r="B115" s="2" t="s">
        <v>35</v>
      </c>
      <c r="C115" s="2" t="s">
        <v>44</v>
      </c>
      <c r="D115" s="2"/>
      <c r="E115" s="2" t="s">
        <v>46</v>
      </c>
      <c r="F115" s="9">
        <v>765000</v>
      </c>
      <c r="G115" s="9">
        <v>670000</v>
      </c>
      <c r="H115" s="9">
        <v>785000</v>
      </c>
      <c r="I115" s="9">
        <v>675000</v>
      </c>
      <c r="J115" t="str">
        <f t="shared" si="1"/>
        <v>CILACAP</v>
      </c>
    </row>
    <row r="116" spans="1:10" x14ac:dyDescent="0.35">
      <c r="A116" s="2" t="s">
        <v>88</v>
      </c>
      <c r="B116" s="2" t="s">
        <v>35</v>
      </c>
      <c r="C116" s="2" t="s">
        <v>44</v>
      </c>
      <c r="D116" s="2"/>
      <c r="E116" s="2" t="s">
        <v>47</v>
      </c>
      <c r="F116" s="9">
        <v>765000</v>
      </c>
      <c r="G116" s="9">
        <v>680000</v>
      </c>
      <c r="H116" s="9">
        <v>785000</v>
      </c>
      <c r="I116" s="9">
        <v>685000</v>
      </c>
      <c r="J116" t="str">
        <f t="shared" si="1"/>
        <v>PURBALINGGA</v>
      </c>
    </row>
    <row r="117" spans="1:10" x14ac:dyDescent="0.35">
      <c r="A117" s="2" t="s">
        <v>88</v>
      </c>
      <c r="B117" s="2" t="s">
        <v>35</v>
      </c>
      <c r="C117" s="2" t="s">
        <v>41</v>
      </c>
      <c r="D117" s="2"/>
      <c r="E117" s="2" t="s">
        <v>42</v>
      </c>
      <c r="F117" s="9">
        <v>700000</v>
      </c>
      <c r="G117" s="9">
        <v>660000</v>
      </c>
      <c r="H117" s="9">
        <v>720000</v>
      </c>
      <c r="I117" s="9">
        <v>665000</v>
      </c>
      <c r="J117" t="str">
        <f t="shared" si="1"/>
        <v>MAGELANG</v>
      </c>
    </row>
    <row r="118" spans="1:10" x14ac:dyDescent="0.35">
      <c r="A118" s="2" t="s">
        <v>88</v>
      </c>
      <c r="B118" s="2" t="s">
        <v>35</v>
      </c>
      <c r="C118" s="2" t="s">
        <v>41</v>
      </c>
      <c r="D118" s="2"/>
      <c r="E118" s="2" t="s">
        <v>43</v>
      </c>
      <c r="F118" s="9">
        <v>700000</v>
      </c>
      <c r="G118" s="9">
        <v>670000</v>
      </c>
      <c r="H118" s="9">
        <v>720000</v>
      </c>
      <c r="I118" s="9">
        <v>675000</v>
      </c>
      <c r="J118" t="str">
        <f t="shared" si="1"/>
        <v>PURWOREJO</v>
      </c>
    </row>
    <row r="119" spans="1:10" x14ac:dyDescent="0.35">
      <c r="A119" s="2" t="s">
        <v>88</v>
      </c>
      <c r="B119" s="2" t="s">
        <v>35</v>
      </c>
      <c r="C119" s="2" t="s">
        <v>41</v>
      </c>
      <c r="D119" s="2"/>
      <c r="E119" s="2" t="s">
        <v>48</v>
      </c>
      <c r="F119" s="9">
        <v>750000</v>
      </c>
      <c r="G119" s="9">
        <v>670000</v>
      </c>
      <c r="H119" s="9">
        <v>770000</v>
      </c>
      <c r="I119" s="9">
        <v>675000</v>
      </c>
      <c r="J119" t="str">
        <f t="shared" si="1"/>
        <v>KEBUMEN</v>
      </c>
    </row>
    <row r="120" spans="1:10" x14ac:dyDescent="0.35">
      <c r="A120" s="2" t="s">
        <v>88</v>
      </c>
      <c r="B120" s="2" t="s">
        <v>35</v>
      </c>
      <c r="C120" s="2" t="s">
        <v>41</v>
      </c>
      <c r="D120" s="2"/>
      <c r="E120" s="2" t="s">
        <v>49</v>
      </c>
      <c r="F120" s="9">
        <v>735000</v>
      </c>
      <c r="G120" s="9">
        <v>660000</v>
      </c>
      <c r="H120" s="9">
        <v>755000</v>
      </c>
      <c r="I120" s="9">
        <v>665000</v>
      </c>
      <c r="J120" t="str">
        <f t="shared" si="1"/>
        <v>TEMANGGUNG</v>
      </c>
    </row>
    <row r="121" spans="1:10" x14ac:dyDescent="0.35">
      <c r="A121" s="2" t="s">
        <v>88</v>
      </c>
      <c r="B121" s="2" t="s">
        <v>35</v>
      </c>
      <c r="C121" s="2" t="s">
        <v>41</v>
      </c>
      <c r="D121" s="2"/>
      <c r="E121" s="2" t="s">
        <v>50</v>
      </c>
      <c r="F121" s="9">
        <v>780000</v>
      </c>
      <c r="G121" s="9">
        <v>690000</v>
      </c>
      <c r="H121" s="9">
        <v>800000</v>
      </c>
      <c r="I121" s="9">
        <v>695000</v>
      </c>
      <c r="J121" t="str">
        <f t="shared" si="1"/>
        <v>WONOSOBO</v>
      </c>
    </row>
    <row r="122" spans="1:10" x14ac:dyDescent="0.35">
      <c r="A122" s="2" t="s">
        <v>88</v>
      </c>
      <c r="B122" s="2" t="s">
        <v>35</v>
      </c>
      <c r="C122" s="2" t="s">
        <v>51</v>
      </c>
      <c r="D122" s="2"/>
      <c r="E122" s="2" t="s">
        <v>52</v>
      </c>
      <c r="F122" s="9">
        <v>740000</v>
      </c>
      <c r="G122" s="9">
        <v>700000</v>
      </c>
      <c r="H122" s="9">
        <v>760000</v>
      </c>
      <c r="I122" s="9">
        <v>705000</v>
      </c>
      <c r="J122" t="str">
        <f t="shared" si="1"/>
        <v>JEPARA</v>
      </c>
    </row>
    <row r="123" spans="1:10" x14ac:dyDescent="0.35">
      <c r="A123" s="2" t="s">
        <v>88</v>
      </c>
      <c r="B123" s="2" t="s">
        <v>35</v>
      </c>
      <c r="C123" s="2" t="s">
        <v>51</v>
      </c>
      <c r="D123" s="2"/>
      <c r="E123" s="2" t="s">
        <v>61</v>
      </c>
      <c r="F123" s="9">
        <v>750000</v>
      </c>
      <c r="G123" s="9">
        <v>700000</v>
      </c>
      <c r="H123" s="9">
        <v>770000</v>
      </c>
      <c r="I123" s="9">
        <v>705000</v>
      </c>
      <c r="J123" t="str">
        <f t="shared" si="1"/>
        <v>BATANG</v>
      </c>
    </row>
    <row r="124" spans="1:10" x14ac:dyDescent="0.35">
      <c r="A124" s="2" t="s">
        <v>88</v>
      </c>
      <c r="B124" s="2" t="s">
        <v>35</v>
      </c>
      <c r="C124" s="2" t="s">
        <v>51</v>
      </c>
      <c r="D124" s="2"/>
      <c r="E124" s="2" t="s">
        <v>53</v>
      </c>
      <c r="F124" s="9">
        <v>730000</v>
      </c>
      <c r="G124" s="9">
        <v>700000</v>
      </c>
      <c r="H124" s="9">
        <v>750000</v>
      </c>
      <c r="I124" s="9">
        <v>705000</v>
      </c>
      <c r="J124" t="str">
        <f t="shared" si="1"/>
        <v>DEMAK</v>
      </c>
    </row>
    <row r="125" spans="1:10" x14ac:dyDescent="0.35">
      <c r="A125" s="2" t="s">
        <v>88</v>
      </c>
      <c r="B125" s="2" t="s">
        <v>35</v>
      </c>
      <c r="C125" s="2" t="s">
        <v>51</v>
      </c>
      <c r="D125" s="2"/>
      <c r="E125" s="2" t="s">
        <v>54</v>
      </c>
      <c r="F125" s="9">
        <v>730000</v>
      </c>
      <c r="G125" s="9">
        <v>700000</v>
      </c>
      <c r="H125" s="9">
        <v>750000</v>
      </c>
      <c r="I125" s="9">
        <v>705000</v>
      </c>
      <c r="J125" t="str">
        <f t="shared" si="1"/>
        <v>KENDAL</v>
      </c>
    </row>
    <row r="126" spans="1:10" x14ac:dyDescent="0.35">
      <c r="A126" s="2" t="s">
        <v>88</v>
      </c>
      <c r="B126" s="2" t="s">
        <v>35</v>
      </c>
      <c r="C126" s="2" t="s">
        <v>51</v>
      </c>
      <c r="D126" s="2"/>
      <c r="E126" s="2" t="s">
        <v>55</v>
      </c>
      <c r="F126" s="9">
        <v>730000</v>
      </c>
      <c r="G126" s="9">
        <v>700000</v>
      </c>
      <c r="H126" s="9">
        <v>750000</v>
      </c>
      <c r="I126" s="9">
        <v>705000</v>
      </c>
      <c r="J126" t="str">
        <f t="shared" si="1"/>
        <v>SALATIGA</v>
      </c>
    </row>
    <row r="127" spans="1:10" x14ac:dyDescent="0.35">
      <c r="A127" s="2" t="s">
        <v>88</v>
      </c>
      <c r="B127" s="2" t="s">
        <v>35</v>
      </c>
      <c r="C127" s="2" t="s">
        <v>51</v>
      </c>
      <c r="D127" s="2"/>
      <c r="E127" s="2" t="s">
        <v>51</v>
      </c>
      <c r="F127" s="9">
        <v>730000</v>
      </c>
      <c r="G127" s="9">
        <v>700000</v>
      </c>
      <c r="H127" s="9">
        <v>750000</v>
      </c>
      <c r="I127" s="9">
        <v>705000</v>
      </c>
      <c r="J127" t="str">
        <f t="shared" si="1"/>
        <v>SEMARANG</v>
      </c>
    </row>
    <row r="128" spans="1:10" x14ac:dyDescent="0.35">
      <c r="A128" s="2" t="s">
        <v>88</v>
      </c>
      <c r="B128" s="2" t="s">
        <v>35</v>
      </c>
      <c r="C128" s="2" t="s">
        <v>56</v>
      </c>
      <c r="D128" s="2"/>
      <c r="E128" s="2" t="s">
        <v>57</v>
      </c>
      <c r="F128" s="9">
        <v>720000</v>
      </c>
      <c r="G128" s="9">
        <v>690000</v>
      </c>
      <c r="H128" s="9">
        <v>740000</v>
      </c>
      <c r="I128" s="9">
        <v>695000</v>
      </c>
      <c r="J128" t="str">
        <f t="shared" si="1"/>
        <v>BLORA</v>
      </c>
    </row>
    <row r="129" spans="1:10" x14ac:dyDescent="0.35">
      <c r="A129" s="2" t="s">
        <v>88</v>
      </c>
      <c r="B129" s="2" t="s">
        <v>35</v>
      </c>
      <c r="C129" s="2" t="s">
        <v>56</v>
      </c>
      <c r="D129" s="2"/>
      <c r="E129" s="2" t="s">
        <v>56</v>
      </c>
      <c r="F129" s="9">
        <v>720000</v>
      </c>
      <c r="G129" s="9">
        <v>690000</v>
      </c>
      <c r="H129" s="9">
        <v>740000</v>
      </c>
      <c r="I129" s="9">
        <v>695000</v>
      </c>
      <c r="J129" t="str">
        <f t="shared" si="1"/>
        <v>PATI</v>
      </c>
    </row>
    <row r="130" spans="1:10" x14ac:dyDescent="0.35">
      <c r="A130" s="2" t="s">
        <v>88</v>
      </c>
      <c r="B130" s="2" t="s">
        <v>35</v>
      </c>
      <c r="C130" s="2" t="s">
        <v>56</v>
      </c>
      <c r="D130" s="2"/>
      <c r="E130" s="2" t="s">
        <v>58</v>
      </c>
      <c r="F130" s="9">
        <v>720000</v>
      </c>
      <c r="G130" s="9">
        <v>690000</v>
      </c>
      <c r="H130" s="9">
        <v>740000</v>
      </c>
      <c r="I130" s="9">
        <v>695000</v>
      </c>
      <c r="J130" t="str">
        <f t="shared" si="1"/>
        <v>REMBANG</v>
      </c>
    </row>
    <row r="131" spans="1:10" x14ac:dyDescent="0.35">
      <c r="A131" s="2" t="s">
        <v>88</v>
      </c>
      <c r="B131" s="2" t="s">
        <v>35</v>
      </c>
      <c r="C131" s="2" t="s">
        <v>56</v>
      </c>
      <c r="D131" s="2"/>
      <c r="E131" s="2" t="s">
        <v>59</v>
      </c>
      <c r="F131" s="9">
        <v>750000</v>
      </c>
      <c r="G131" s="9">
        <v>700000</v>
      </c>
      <c r="H131" s="9">
        <v>770000</v>
      </c>
      <c r="I131" s="9">
        <v>705000</v>
      </c>
      <c r="J131" t="str">
        <f t="shared" si="1"/>
        <v>KUDUS</v>
      </c>
    </row>
    <row r="132" spans="1:10" x14ac:dyDescent="0.35">
      <c r="A132" s="2" t="s">
        <v>88</v>
      </c>
      <c r="B132" s="2" t="s">
        <v>35</v>
      </c>
      <c r="C132" s="2" t="s">
        <v>56</v>
      </c>
      <c r="D132" s="2"/>
      <c r="E132" s="2" t="s">
        <v>60</v>
      </c>
      <c r="F132" s="9">
        <v>740000</v>
      </c>
      <c r="G132" s="9">
        <v>700000</v>
      </c>
      <c r="H132" s="9">
        <v>760000</v>
      </c>
      <c r="I132" s="9">
        <v>705000</v>
      </c>
      <c r="J132" t="str">
        <f t="shared" ref="J132:J142" si="2">E132</f>
        <v>GROBOGAN</v>
      </c>
    </row>
    <row r="133" spans="1:10" x14ac:dyDescent="0.35">
      <c r="A133" s="2" t="s">
        <v>88</v>
      </c>
      <c r="B133" s="2" t="s">
        <v>35</v>
      </c>
      <c r="C133" s="2" t="s">
        <v>62</v>
      </c>
      <c r="D133" s="2"/>
      <c r="E133" s="2" t="s">
        <v>63</v>
      </c>
      <c r="F133" s="9">
        <v>800000</v>
      </c>
      <c r="G133" s="9">
        <v>690000</v>
      </c>
      <c r="H133" s="9">
        <v>820000</v>
      </c>
      <c r="I133" s="9">
        <v>695000</v>
      </c>
      <c r="J133" t="str">
        <f t="shared" si="2"/>
        <v>BREBES</v>
      </c>
    </row>
    <row r="134" spans="1:10" x14ac:dyDescent="0.35">
      <c r="A134" s="2" t="s">
        <v>88</v>
      </c>
      <c r="B134" s="2" t="s">
        <v>35</v>
      </c>
      <c r="C134" s="2" t="s">
        <v>62</v>
      </c>
      <c r="D134" s="2"/>
      <c r="E134" s="2" t="s">
        <v>64</v>
      </c>
      <c r="F134" s="9">
        <v>765000</v>
      </c>
      <c r="G134" s="9">
        <v>695000</v>
      </c>
      <c r="H134" s="9">
        <v>785000</v>
      </c>
      <c r="I134" s="9">
        <v>700000</v>
      </c>
      <c r="J134" t="str">
        <f t="shared" si="2"/>
        <v>TEGAL</v>
      </c>
    </row>
    <row r="135" spans="1:10" x14ac:dyDescent="0.35">
      <c r="A135" s="2" t="s">
        <v>88</v>
      </c>
      <c r="B135" s="2" t="s">
        <v>35</v>
      </c>
      <c r="C135" s="2" t="s">
        <v>62</v>
      </c>
      <c r="D135" s="2"/>
      <c r="E135" s="2" t="s">
        <v>62</v>
      </c>
      <c r="F135" s="9">
        <v>755000</v>
      </c>
      <c r="G135" s="9">
        <v>660000</v>
      </c>
      <c r="H135" s="9">
        <v>775000</v>
      </c>
      <c r="I135" s="9">
        <v>665000</v>
      </c>
      <c r="J135" t="str">
        <f t="shared" si="2"/>
        <v>PEKALONGAN</v>
      </c>
    </row>
    <row r="136" spans="1:10" x14ac:dyDescent="0.35">
      <c r="A136" s="2" t="s">
        <v>88</v>
      </c>
      <c r="B136" s="2" t="s">
        <v>35</v>
      </c>
      <c r="C136" s="2" t="s">
        <v>62</v>
      </c>
      <c r="D136" s="2"/>
      <c r="E136" s="2" t="s">
        <v>65</v>
      </c>
      <c r="F136" s="9">
        <v>750000</v>
      </c>
      <c r="G136" s="9">
        <v>690000</v>
      </c>
      <c r="H136" s="9">
        <v>770000</v>
      </c>
      <c r="I136" s="9">
        <v>695000</v>
      </c>
      <c r="J136" t="str">
        <f t="shared" si="2"/>
        <v>PEMALANG</v>
      </c>
    </row>
    <row r="137" spans="1:10" x14ac:dyDescent="0.35">
      <c r="A137" s="2" t="s">
        <v>88</v>
      </c>
      <c r="B137" s="2" t="s">
        <v>35</v>
      </c>
      <c r="C137" s="2" t="s">
        <v>66</v>
      </c>
      <c r="D137" s="2"/>
      <c r="E137" s="2" t="s">
        <v>67</v>
      </c>
      <c r="F137" s="9">
        <v>730000</v>
      </c>
      <c r="G137" s="9">
        <v>690000</v>
      </c>
      <c r="H137" s="9">
        <v>750000</v>
      </c>
      <c r="I137" s="9">
        <v>695000</v>
      </c>
      <c r="J137" t="str">
        <f t="shared" si="2"/>
        <v>BOYOLALI</v>
      </c>
    </row>
    <row r="138" spans="1:10" x14ac:dyDescent="0.35">
      <c r="A138" s="2" t="s">
        <v>88</v>
      </c>
      <c r="B138" s="2" t="s">
        <v>35</v>
      </c>
      <c r="C138" s="2" t="s">
        <v>66</v>
      </c>
      <c r="D138" s="2"/>
      <c r="E138" s="2" t="s">
        <v>68</v>
      </c>
      <c r="F138" s="9">
        <v>740000</v>
      </c>
      <c r="G138" s="9">
        <v>700000</v>
      </c>
      <c r="H138" s="9">
        <v>760000</v>
      </c>
      <c r="I138" s="9">
        <v>705000</v>
      </c>
      <c r="J138" t="str">
        <f t="shared" si="2"/>
        <v>KARANGANYAR</v>
      </c>
    </row>
    <row r="139" spans="1:10" x14ac:dyDescent="0.35">
      <c r="A139" s="2" t="s">
        <v>88</v>
      </c>
      <c r="B139" s="2" t="s">
        <v>35</v>
      </c>
      <c r="C139" s="2" t="s">
        <v>66</v>
      </c>
      <c r="D139" s="2"/>
      <c r="E139" s="2" t="s">
        <v>69</v>
      </c>
      <c r="F139" s="9">
        <v>740000</v>
      </c>
      <c r="G139" s="9">
        <v>700000</v>
      </c>
      <c r="H139" s="9">
        <v>760000</v>
      </c>
      <c r="I139" s="9">
        <v>705000</v>
      </c>
      <c r="J139" t="str">
        <f t="shared" si="2"/>
        <v>KLATEN</v>
      </c>
    </row>
    <row r="140" spans="1:10" x14ac:dyDescent="0.35">
      <c r="A140" s="2" t="s">
        <v>88</v>
      </c>
      <c r="B140" s="2" t="s">
        <v>35</v>
      </c>
      <c r="C140" s="2" t="s">
        <v>66</v>
      </c>
      <c r="D140" s="2"/>
      <c r="E140" s="2" t="s">
        <v>70</v>
      </c>
      <c r="F140" s="9">
        <v>740000</v>
      </c>
      <c r="G140" s="9">
        <v>700000</v>
      </c>
      <c r="H140" s="9">
        <v>760000</v>
      </c>
      <c r="I140" s="9">
        <v>705000</v>
      </c>
      <c r="J140" t="str">
        <f t="shared" si="2"/>
        <v>SURAKARTA</v>
      </c>
    </row>
    <row r="141" spans="1:10" x14ac:dyDescent="0.35">
      <c r="A141" s="2" t="s">
        <v>88</v>
      </c>
      <c r="B141" s="2" t="s">
        <v>35</v>
      </c>
      <c r="C141" s="2" t="s">
        <v>66</v>
      </c>
      <c r="D141" s="2"/>
      <c r="E141" s="2" t="s">
        <v>71</v>
      </c>
      <c r="F141" s="9">
        <v>730000</v>
      </c>
      <c r="G141" s="9">
        <v>690000</v>
      </c>
      <c r="H141" s="9">
        <v>750000</v>
      </c>
      <c r="I141" s="9">
        <v>695000</v>
      </c>
      <c r="J141" t="str">
        <f t="shared" si="2"/>
        <v>SRAGEN</v>
      </c>
    </row>
    <row r="142" spans="1:10" x14ac:dyDescent="0.35">
      <c r="A142" s="2" t="s">
        <v>88</v>
      </c>
      <c r="B142" s="2" t="s">
        <v>35</v>
      </c>
      <c r="C142" s="2" t="s">
        <v>66</v>
      </c>
      <c r="D142" s="2"/>
      <c r="E142" s="2" t="s">
        <v>72</v>
      </c>
      <c r="F142" s="9">
        <v>740000</v>
      </c>
      <c r="G142" s="9">
        <v>700000</v>
      </c>
      <c r="H142" s="9">
        <v>760000</v>
      </c>
      <c r="I142" s="9">
        <v>705000</v>
      </c>
      <c r="J142" t="str">
        <f t="shared" si="2"/>
        <v>SUKOHARJO</v>
      </c>
    </row>
    <row r="143" spans="1:10" x14ac:dyDescent="0.35">
      <c r="A143" s="31" t="s">
        <v>88</v>
      </c>
      <c r="B143" s="31" t="s">
        <v>35</v>
      </c>
      <c r="C143" s="31" t="s">
        <v>66</v>
      </c>
      <c r="D143" s="31"/>
      <c r="E143" s="31" t="s">
        <v>73</v>
      </c>
      <c r="F143" s="9">
        <v>740000</v>
      </c>
      <c r="G143" s="9">
        <v>700000</v>
      </c>
      <c r="H143" s="9">
        <v>760000</v>
      </c>
      <c r="I143" s="9">
        <v>705000</v>
      </c>
      <c r="J143" t="str">
        <f>E143</f>
        <v>WONOGIRI</v>
      </c>
    </row>
    <row r="144" spans="1:10" x14ac:dyDescent="0.35">
      <c r="A144" s="32" t="s">
        <v>88</v>
      </c>
      <c r="B144" s="32" t="s">
        <v>74</v>
      </c>
      <c r="C144" s="32" t="s">
        <v>74</v>
      </c>
      <c r="D144" s="32"/>
      <c r="E144" s="32" t="s">
        <v>75</v>
      </c>
      <c r="F144" s="9">
        <v>0</v>
      </c>
      <c r="G144" s="9">
        <v>0</v>
      </c>
      <c r="H144" s="9">
        <v>0</v>
      </c>
      <c r="I144" s="9">
        <v>0</v>
      </c>
      <c r="J144" t="str">
        <f t="shared" ref="J144:J166" si="3">E144</f>
        <v>BANJAR</v>
      </c>
    </row>
    <row r="145" spans="1:10" x14ac:dyDescent="0.35">
      <c r="A145" s="32" t="s">
        <v>88</v>
      </c>
      <c r="B145" s="32" t="s">
        <v>74</v>
      </c>
      <c r="C145" s="32" t="s">
        <v>74</v>
      </c>
      <c r="D145" s="32"/>
      <c r="E145" s="32" t="s">
        <v>76</v>
      </c>
      <c r="F145" s="9">
        <v>0</v>
      </c>
      <c r="G145" s="9">
        <v>0</v>
      </c>
      <c r="H145" s="9">
        <v>0</v>
      </c>
      <c r="I145" s="9">
        <v>0</v>
      </c>
      <c r="J145" t="str">
        <f t="shared" si="3"/>
        <v>CIAMIS</v>
      </c>
    </row>
    <row r="146" spans="1:10" x14ac:dyDescent="0.35">
      <c r="A146" s="32" t="s">
        <v>88</v>
      </c>
      <c r="B146" s="32" t="s">
        <v>74</v>
      </c>
      <c r="C146" s="32" t="s">
        <v>74</v>
      </c>
      <c r="D146" s="32"/>
      <c r="E146" s="32" t="s">
        <v>77</v>
      </c>
      <c r="F146" s="9">
        <v>0</v>
      </c>
      <c r="G146" s="9">
        <v>0</v>
      </c>
      <c r="H146" s="9">
        <v>0</v>
      </c>
      <c r="I146" s="9">
        <v>0</v>
      </c>
      <c r="J146" t="str">
        <f t="shared" si="3"/>
        <v>PANGANDARAN</v>
      </c>
    </row>
    <row r="147" spans="1:10" x14ac:dyDescent="0.35">
      <c r="A147" s="32" t="s">
        <v>88</v>
      </c>
      <c r="B147" s="32" t="s">
        <v>74</v>
      </c>
      <c r="C147" s="32" t="s">
        <v>74</v>
      </c>
      <c r="D147" s="32"/>
      <c r="E147" s="32" t="s">
        <v>78</v>
      </c>
      <c r="F147" s="9">
        <v>0</v>
      </c>
      <c r="G147" s="9">
        <v>0</v>
      </c>
      <c r="H147" s="9">
        <v>0</v>
      </c>
      <c r="I147" s="9">
        <v>0</v>
      </c>
      <c r="J147" t="str">
        <f t="shared" si="3"/>
        <v>TASIKMALAYA</v>
      </c>
    </row>
    <row r="148" spans="1:10" x14ac:dyDescent="0.35">
      <c r="A148" s="32" t="s">
        <v>88</v>
      </c>
      <c r="B148" s="32" t="s">
        <v>79</v>
      </c>
      <c r="C148" s="32" t="s">
        <v>79</v>
      </c>
      <c r="D148" s="32"/>
      <c r="E148" s="33" t="s">
        <v>79</v>
      </c>
      <c r="F148" s="9">
        <v>0</v>
      </c>
      <c r="G148" s="9">
        <v>785000</v>
      </c>
      <c r="H148" s="9">
        <v>0</v>
      </c>
      <c r="I148" s="9">
        <v>790000</v>
      </c>
      <c r="J148" t="str">
        <f t="shared" si="3"/>
        <v>BALI</v>
      </c>
    </row>
    <row r="149" spans="1:10" x14ac:dyDescent="0.35">
      <c r="A149"/>
      <c r="B149"/>
      <c r="C149"/>
      <c r="D149"/>
      <c r="E149"/>
      <c r="F149"/>
      <c r="G149"/>
      <c r="H149"/>
      <c r="I149"/>
      <c r="J149">
        <f t="shared" si="3"/>
        <v>0</v>
      </c>
    </row>
    <row r="150" spans="1:10" x14ac:dyDescent="0.35">
      <c r="A150"/>
      <c r="B150"/>
      <c r="C150"/>
      <c r="D150"/>
      <c r="E150"/>
      <c r="F150"/>
      <c r="G150"/>
      <c r="H150"/>
      <c r="I150"/>
      <c r="J150">
        <f t="shared" si="3"/>
        <v>0</v>
      </c>
    </row>
    <row r="151" spans="1:10" x14ac:dyDescent="0.35">
      <c r="A151"/>
      <c r="B151"/>
      <c r="C151"/>
      <c r="D151"/>
      <c r="E151"/>
      <c r="F151"/>
      <c r="G151"/>
      <c r="H151"/>
      <c r="I151"/>
      <c r="J151">
        <f t="shared" si="3"/>
        <v>0</v>
      </c>
    </row>
    <row r="152" spans="1:10" x14ac:dyDescent="0.35">
      <c r="A152"/>
      <c r="B152"/>
      <c r="C152"/>
      <c r="D152"/>
      <c r="E152"/>
      <c r="F152"/>
      <c r="G152"/>
      <c r="H152"/>
      <c r="I152"/>
      <c r="J152">
        <f t="shared" si="3"/>
        <v>0</v>
      </c>
    </row>
    <row r="153" spans="1:10" x14ac:dyDescent="0.35">
      <c r="A153"/>
      <c r="B153"/>
      <c r="C153"/>
      <c r="D153"/>
      <c r="E153"/>
      <c r="F153"/>
      <c r="G153"/>
      <c r="H153"/>
      <c r="I153"/>
      <c r="J153">
        <f t="shared" si="3"/>
        <v>0</v>
      </c>
    </row>
    <row r="154" spans="1:10" x14ac:dyDescent="0.35">
      <c r="A154"/>
      <c r="B154"/>
      <c r="C154"/>
      <c r="D154"/>
      <c r="E154"/>
      <c r="F154"/>
      <c r="G154"/>
      <c r="H154"/>
      <c r="I154"/>
      <c r="J154">
        <f t="shared" si="3"/>
        <v>0</v>
      </c>
    </row>
    <row r="155" spans="1:10" x14ac:dyDescent="0.35">
      <c r="A155"/>
      <c r="B155"/>
      <c r="C155"/>
      <c r="D155"/>
      <c r="E155"/>
      <c r="F155"/>
      <c r="G155"/>
      <c r="H155"/>
      <c r="I155"/>
      <c r="J155">
        <f t="shared" si="3"/>
        <v>0</v>
      </c>
    </row>
    <row r="156" spans="1:10" x14ac:dyDescent="0.35">
      <c r="A156"/>
      <c r="B156"/>
      <c r="C156"/>
      <c r="D156"/>
      <c r="E156"/>
      <c r="F156"/>
      <c r="G156"/>
      <c r="H156"/>
      <c r="I156"/>
      <c r="J156">
        <f t="shared" si="3"/>
        <v>0</v>
      </c>
    </row>
    <row r="157" spans="1:10" x14ac:dyDescent="0.35">
      <c r="A157"/>
      <c r="B157"/>
      <c r="C157"/>
      <c r="D157"/>
      <c r="E157"/>
      <c r="F157"/>
      <c r="G157"/>
      <c r="H157"/>
      <c r="I157"/>
      <c r="J157">
        <f t="shared" si="3"/>
        <v>0</v>
      </c>
    </row>
    <row r="158" spans="1:10" x14ac:dyDescent="0.35">
      <c r="A158"/>
      <c r="B158"/>
      <c r="C158"/>
      <c r="D158"/>
      <c r="E158"/>
      <c r="F158"/>
      <c r="G158"/>
      <c r="H158"/>
      <c r="I158"/>
      <c r="J158">
        <f t="shared" si="3"/>
        <v>0</v>
      </c>
    </row>
    <row r="159" spans="1:10" x14ac:dyDescent="0.35">
      <c r="A159"/>
      <c r="B159"/>
      <c r="C159"/>
      <c r="D159"/>
      <c r="E159"/>
      <c r="F159"/>
      <c r="G159"/>
      <c r="H159"/>
      <c r="I159"/>
      <c r="J159">
        <f t="shared" si="3"/>
        <v>0</v>
      </c>
    </row>
    <row r="160" spans="1:10" x14ac:dyDescent="0.35">
      <c r="A160"/>
      <c r="B160"/>
      <c r="C160"/>
      <c r="D160"/>
      <c r="E160"/>
      <c r="F160"/>
      <c r="G160"/>
      <c r="H160"/>
      <c r="I160"/>
      <c r="J160">
        <f t="shared" si="3"/>
        <v>0</v>
      </c>
    </row>
    <row r="161" spans="1:10" x14ac:dyDescent="0.35">
      <c r="A161"/>
      <c r="B161"/>
      <c r="C161"/>
      <c r="D161"/>
      <c r="E161"/>
      <c r="F161"/>
      <c r="G161"/>
      <c r="H161"/>
      <c r="I161"/>
      <c r="J161">
        <f t="shared" si="3"/>
        <v>0</v>
      </c>
    </row>
    <row r="162" spans="1:10" x14ac:dyDescent="0.35">
      <c r="A162"/>
      <c r="B162"/>
      <c r="C162"/>
      <c r="D162"/>
      <c r="E162"/>
      <c r="F162"/>
      <c r="G162"/>
      <c r="H162"/>
      <c r="I162"/>
      <c r="J162">
        <f t="shared" si="3"/>
        <v>0</v>
      </c>
    </row>
    <row r="163" spans="1:10" x14ac:dyDescent="0.35">
      <c r="A163"/>
      <c r="B163"/>
      <c r="C163"/>
      <c r="D163"/>
      <c r="E163"/>
      <c r="F163"/>
      <c r="G163"/>
      <c r="H163"/>
      <c r="I163"/>
      <c r="J163">
        <f t="shared" si="3"/>
        <v>0</v>
      </c>
    </row>
    <row r="164" spans="1:10" x14ac:dyDescent="0.35">
      <c r="A164"/>
      <c r="B164"/>
      <c r="C164"/>
      <c r="D164"/>
      <c r="E164"/>
      <c r="F164"/>
      <c r="G164"/>
      <c r="H164"/>
      <c r="I164"/>
      <c r="J164">
        <f t="shared" si="3"/>
        <v>0</v>
      </c>
    </row>
    <row r="165" spans="1:10" x14ac:dyDescent="0.35">
      <c r="A165"/>
      <c r="B165"/>
      <c r="C165"/>
      <c r="D165"/>
      <c r="E165"/>
      <c r="F165"/>
      <c r="G165"/>
      <c r="H165"/>
      <c r="I165"/>
      <c r="J165">
        <f t="shared" si="3"/>
        <v>0</v>
      </c>
    </row>
    <row r="166" spans="1:10" x14ac:dyDescent="0.35">
      <c r="A166"/>
      <c r="B166"/>
      <c r="C166"/>
      <c r="D166"/>
      <c r="E166"/>
      <c r="F166"/>
      <c r="G166"/>
      <c r="H166"/>
      <c r="I166"/>
      <c r="J166">
        <f t="shared" si="3"/>
        <v>0</v>
      </c>
    </row>
  </sheetData>
  <sheetProtection autoFilter="0"/>
  <autoFilter ref="A2:L166" xr:uid="{9EC1AAEF-0DD5-4C30-BF2F-A85D0617B87C}"/>
  <mergeCells count="2">
    <mergeCell ref="F1:G1"/>
    <mergeCell ref="H1:I1"/>
  </mergeCells>
  <conditionalFormatting sqref="F3:I148">
    <cfRule type="cellIs" dxfId="1" priority="1" operator="equal">
      <formula>0</formula>
    </cfRule>
    <cfRule type="containsBlanks" dxfId="0" priority="2">
      <formula>LEN(TRIM(F3))=0</formula>
    </cfRule>
  </conditionalFormatting>
  <dataValidations count="1">
    <dataValidation type="list" allowBlank="1" showInputMessage="1" showErrorMessage="1" sqref="E3:E87 E148" xr:uid="{4655F9C5-A058-4AC8-A95B-D6C3A96FF6AE}">
      <formula1>$E$2:$E$87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C4C-1CEA-40C1-80A1-F5A86F2111C1}">
  <sheetPr codeName="Sheet2"/>
  <dimension ref="B3:J11"/>
  <sheetViews>
    <sheetView zoomScale="80" zoomScaleNormal="80" workbookViewId="0">
      <selection activeCell="G19" sqref="G19"/>
    </sheetView>
  </sheetViews>
  <sheetFormatPr defaultColWidth="8.90625" defaultRowHeight="14.5" x14ac:dyDescent="0.35"/>
  <cols>
    <col min="1" max="1" width="8.90625" style="4"/>
    <col min="2" max="2" width="16.81640625" style="4" customWidth="1"/>
    <col min="3" max="3" width="19.81640625" style="4" bestFit="1" customWidth="1"/>
    <col min="4" max="5" width="25.6328125" style="4" bestFit="1" customWidth="1"/>
    <col min="6" max="6" width="8.90625" style="4"/>
    <col min="7" max="7" width="16.81640625" style="4" customWidth="1"/>
    <col min="8" max="8" width="19.81640625" style="4" bestFit="1" customWidth="1"/>
    <col min="9" max="10" width="25.6328125" style="4" bestFit="1" customWidth="1"/>
    <col min="11" max="16384" width="8.90625" style="4"/>
  </cols>
  <sheetData>
    <row r="3" spans="2:10" x14ac:dyDescent="0.35">
      <c r="C3" s="4" t="s">
        <v>85</v>
      </c>
      <c r="H3" s="4" t="s">
        <v>85</v>
      </c>
    </row>
    <row r="4" spans="2:10" ht="19" thickBot="1" x14ac:dyDescent="0.5">
      <c r="C4" s="7"/>
      <c r="H4" s="7"/>
    </row>
    <row r="5" spans="2:10" ht="21.5" thickBot="1" x14ac:dyDescent="0.55000000000000004">
      <c r="B5" s="11" t="s">
        <v>95</v>
      </c>
      <c r="C5" s="12"/>
      <c r="D5" s="13"/>
      <c r="E5" s="14"/>
      <c r="G5" s="11" t="s">
        <v>99</v>
      </c>
      <c r="H5" s="12"/>
      <c r="I5" s="13"/>
      <c r="J5" s="14"/>
    </row>
    <row r="6" spans="2:10" s="5" customFormat="1" ht="42.5" thickBot="1" x14ac:dyDescent="0.55000000000000004">
      <c r="B6" s="19" t="s">
        <v>86</v>
      </c>
      <c r="C6" s="20" t="s">
        <v>2</v>
      </c>
      <c r="D6" s="29" t="s">
        <v>83</v>
      </c>
      <c r="E6" s="30" t="s">
        <v>84</v>
      </c>
      <c r="G6" s="19" t="s">
        <v>86</v>
      </c>
      <c r="H6" s="20" t="s">
        <v>2</v>
      </c>
      <c r="I6" s="29" t="s">
        <v>83</v>
      </c>
      <c r="J6" s="30" t="s">
        <v>84</v>
      </c>
    </row>
    <row r="7" spans="2:10" s="5" customFormat="1" ht="21.5" thickBot="1" x14ac:dyDescent="0.55000000000000004">
      <c r="B7" s="15" t="s">
        <v>87</v>
      </c>
      <c r="C7" s="16" t="s">
        <v>79</v>
      </c>
      <c r="D7" s="17">
        <f>SUMIFS('Pricelist Lengkap'!$F:$F,'Pricelist Lengkap'!$E:$E,'Search Harga'!$C7,'Pricelist Lengkap'!$A:$A,'Search Harga'!$B7)</f>
        <v>0</v>
      </c>
      <c r="E7" s="18">
        <f>SUMIFS('Pricelist Lengkap'!$G:$G,'Pricelist Lengkap'!$E:$E,'Search Harga'!$C7,'Pricelist Lengkap'!$A:$A,'Search Harga'!$B7)</f>
        <v>790000</v>
      </c>
      <c r="G7" s="15" t="s">
        <v>87</v>
      </c>
      <c r="H7" s="16" t="s">
        <v>7</v>
      </c>
      <c r="I7" s="17">
        <f>SUMIFS('Pricelist Lengkap'!$H:$H,'Pricelist Lengkap'!$E:$E,'Search Harga'!$H7,'Pricelist Lengkap'!$A:$A,'Search Harga'!$G7)</f>
        <v>790000</v>
      </c>
      <c r="J7" s="18">
        <f>SUMIFS('Pricelist Lengkap'!$I:$I,'Pricelist Lengkap'!$E:$E,'Search Harga'!$H7,'Pricelist Lengkap'!$A:$A,'Search Harga'!$G7)</f>
        <v>705000</v>
      </c>
    </row>
    <row r="8" spans="2:10" ht="15" thickBot="1" x14ac:dyDescent="0.4">
      <c r="C8" s="6"/>
      <c r="D8" s="6"/>
      <c r="E8" s="6"/>
      <c r="H8" s="6"/>
      <c r="I8" s="6"/>
      <c r="J8" s="6"/>
    </row>
    <row r="9" spans="2:10" ht="21.5" thickBot="1" x14ac:dyDescent="0.55000000000000004">
      <c r="B9" s="21" t="s">
        <v>96</v>
      </c>
      <c r="C9" s="22"/>
      <c r="D9" s="23"/>
      <c r="E9" s="24"/>
      <c r="G9" s="21" t="s">
        <v>100</v>
      </c>
      <c r="H9" s="22"/>
      <c r="I9" s="23"/>
      <c r="J9" s="24"/>
    </row>
    <row r="10" spans="2:10" s="5" customFormat="1" ht="42.5" thickBot="1" x14ac:dyDescent="0.55000000000000004">
      <c r="B10" s="25" t="s">
        <v>86</v>
      </c>
      <c r="C10" s="26" t="s">
        <v>2</v>
      </c>
      <c r="D10" s="27" t="s">
        <v>83</v>
      </c>
      <c r="E10" s="28" t="s">
        <v>84</v>
      </c>
      <c r="G10" s="25" t="s">
        <v>86</v>
      </c>
      <c r="H10" s="26" t="s">
        <v>2</v>
      </c>
      <c r="I10" s="27" t="s">
        <v>83</v>
      </c>
      <c r="J10" s="28" t="s">
        <v>84</v>
      </c>
    </row>
    <row r="11" spans="2:10" s="5" customFormat="1" ht="21.5" thickBot="1" x14ac:dyDescent="0.55000000000000004">
      <c r="B11" s="15" t="s">
        <v>88</v>
      </c>
      <c r="C11" s="16" t="s">
        <v>79</v>
      </c>
      <c r="D11" s="17">
        <f>SUMIFS('Pricelist Lengkap'!$F:$F,'Pricelist Lengkap'!$E:$E,'Search Harga'!$C11,'Pricelist Lengkap'!$A:$A,'Search Harga'!$B11)</f>
        <v>0</v>
      </c>
      <c r="E11" s="18">
        <f>SUMIFS('Pricelist Lengkap'!$G:$G,'Pricelist Lengkap'!$E:$E,'Search Harga'!$C11,'Pricelist Lengkap'!$A:$A,'Search Harga'!$B11)</f>
        <v>785000</v>
      </c>
      <c r="G11" s="15" t="s">
        <v>88</v>
      </c>
      <c r="H11" s="16" t="s">
        <v>7</v>
      </c>
      <c r="I11" s="17">
        <f>SUMIFS('Pricelist Lengkap'!$H:$H,'Pricelist Lengkap'!$E:$E,'Search Harga'!$H11,'Pricelist Lengkap'!$A:$A,'Search Harga'!$G11)</f>
        <v>860000</v>
      </c>
      <c r="J11" s="18">
        <f>SUMIFS('Pricelist Lengkap'!$I:$I,'Pricelist Lengkap'!$E:$E,'Search Harga'!$H11,'Pricelist Lengkap'!$A:$A,'Search Harga'!$G11)</f>
        <v>745000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D74EA0-1CC9-4449-B25B-77A53C318AF4}">
          <x14:formula1>
            <xm:f>'Pricelist Lengkap'!$J$3:$J$75</xm:f>
          </x14:formula1>
          <xm:sqref>C7 H7 H11</xm:sqref>
        </x14:dataValidation>
        <x14:dataValidation type="list" allowBlank="1" showInputMessage="1" showErrorMessage="1" xr:uid="{7F100C52-D68C-442A-BF55-6C48F51BB5E0}">
          <x14:formula1>
            <xm:f>'Pricelist Lengkap'!$J$76:$J$148</xm:f>
          </x14:formula1>
          <xm:sqref>C11</xm:sqref>
        </x14:dataValidation>
        <x14:dataValidation type="list" allowBlank="1" showInputMessage="1" showErrorMessage="1" xr:uid="{B6D435F3-47DE-45AE-8E6F-5D3CF679D372}">
          <x14:formula1>
            <xm:f>'Pricelist Lengkap'!$A$3:$A$166</xm:f>
          </x14:formula1>
          <xm:sqref>B7 B11 G7 G11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Pricelist Lengkap</vt:lpstr>
      <vt:lpstr>Search Harga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PAMELA</cp:lastModifiedBy>
  <dcterms:created xsi:type="dcterms:W3CDTF">2022-10-26T08:15:17Z</dcterms:created>
  <dcterms:modified xsi:type="dcterms:W3CDTF">2026-07-25T06:28:21Z</dcterms:modified>
</cp:coreProperties>
</file>